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Thabiso\Downloads\"/>
    </mc:Choice>
  </mc:AlternateContent>
  <bookViews>
    <workbookView xWindow="0" yWindow="0" windowWidth="19400" windowHeight="6780" firstSheet="1" activeTab="4"/>
  </bookViews>
  <sheets>
    <sheet name="Comments on the layout " sheetId="8" state="hidden" r:id="rId1"/>
    <sheet name="Links to Worksheets" sheetId="12" r:id="rId2"/>
    <sheet name="Proposed Layout" sheetId="15" r:id="rId3"/>
    <sheet name="Input Layout" sheetId="1" state="hidden" r:id="rId4"/>
    <sheet name="Header &amp; Trailer" sheetId="4" r:id="rId5"/>
    <sheet name="Financial input" sheetId="2" r:id="rId6"/>
    <sheet name="Account Status" sheetId="7" r:id="rId7"/>
    <sheet name="Status code Rules" sheetId="3" r:id="rId8"/>
    <sheet name="Account Types" sheetId="13" r:id="rId9"/>
    <sheet name="Record Type" sheetId="5" r:id="rId10"/>
    <sheet name="Ownership Type" sheetId="6" r:id="rId11"/>
    <sheet name="Address Population" sheetId="10" r:id="rId12"/>
    <sheet name="Repayment Frequency" sheetId="14" r:id="rId13"/>
    <sheet name="Loan Reason Code Botswana" sheetId="17" r:id="rId14"/>
    <sheet name="Status &amp; Acc Type" sheetId="20" r:id="rId15"/>
    <sheet name="Payment Type Table" sheetId="21" r:id="rId16"/>
    <sheet name="File Naming Conventions" sheetId="23" r:id="rId17"/>
    <sheet name="Income Frequency" sheetId="24" r:id="rId18"/>
    <sheet name="Title Table" sheetId="25" r:id="rId19"/>
  </sheets>
  <definedNames>
    <definedName name="_xlnm._FilterDatabase" localSheetId="2" hidden="1">'Proposed Layout'!$A$1:$H$134</definedName>
    <definedName name="OLE_LINK1" localSheetId="3">'Input Layout'!#REF!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46  Page 15_baf96fa6-a7da-4a95-b2de-01e7a637f964" name="Table046  Page 15" connection="Query - Table046 (Page 15)"/>
          <x15:modelTable id="Table048  Page 17_4a7211c4-c272-4a58-86b0-41f6fbc38c4c" name="Table048  Page 17" connection="Query - Table048 (Page 17)"/>
          <x15:modelTable id="Table047  Page 16_9b76d2e6-fd59-41f1-b040-3c5d3a74da77" name="Table047  Page 16" connection="Query - Table047 (Page 16)"/>
          <x15:modelTable id="Table049  Page 18_7784fb14-68a5-4f24-970c-098c3bc61fe8" name="Table049  Page 18" connection="Query - Table049 (Page 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5" l="1"/>
  <c r="D5" i="15" s="1"/>
  <c r="D6" i="15" s="1"/>
  <c r="D7" i="15" s="1"/>
  <c r="D9" i="15" s="1"/>
  <c r="D10" i="15" s="1"/>
  <c r="D11" i="15" s="1"/>
  <c r="D13" i="15" s="1"/>
  <c r="D16" i="15" s="1"/>
  <c r="D17" i="15" s="1"/>
  <c r="D18" i="15" s="1"/>
  <c r="D19" i="15" s="1"/>
  <c r="D20" i="15" s="1"/>
  <c r="D21" i="15" s="1"/>
  <c r="D22" i="15" s="1"/>
  <c r="D23" i="15" s="1"/>
  <c r="D24" i="15" s="1"/>
  <c r="D25" i="15" s="1"/>
  <c r="D26" i="15" s="1"/>
  <c r="D27" i="15" s="1"/>
  <c r="D28" i="15" s="1"/>
  <c r="D29" i="15" s="1"/>
  <c r="D30" i="15" s="1"/>
  <c r="D32" i="15" s="1"/>
  <c r="D33" i="15" s="1"/>
  <c r="D34" i="15" s="1"/>
  <c r="D35" i="15" s="1"/>
  <c r="D36" i="15" s="1"/>
  <c r="D46" i="15" s="1"/>
  <c r="D49" i="15" s="1"/>
  <c r="D57" i="15" s="1"/>
  <c r="D62" i="15" s="1"/>
  <c r="D72" i="15" s="1"/>
  <c r="D75" i="15" s="1"/>
  <c r="D82" i="15" s="1"/>
  <c r="D89" i="15" s="1"/>
  <c r="D97" i="15" s="1"/>
  <c r="D105" i="15" s="1"/>
  <c r="D106" i="15" s="1"/>
  <c r="D107" i="15" s="1"/>
  <c r="D118" i="15" s="1"/>
  <c r="D119" i="15" s="1"/>
  <c r="D120" i="15" s="1"/>
  <c r="D121" i="15" s="1"/>
  <c r="D123" i="15" s="1"/>
  <c r="D124" i="15" s="1"/>
  <c r="D125" i="15" s="1"/>
  <c r="D126" i="15" s="1"/>
  <c r="D127" i="15" s="1"/>
  <c r="D128" i="15" s="1"/>
  <c r="D129" i="15" s="1"/>
  <c r="D130" i="15" s="1"/>
  <c r="D131" i="15" s="1"/>
  <c r="D133" i="15" s="1"/>
  <c r="D134" i="15" s="1"/>
</calcChain>
</file>

<file path=xl/connections.xml><?xml version="1.0" encoding="utf-8"?>
<connections xmlns="http://schemas.openxmlformats.org/spreadsheetml/2006/main">
  <connection id="1" name="Query - Table046 (Page 15)" description="Connection to the 'Table046 (Page 15)' query in the workbook." type="100" refreshedVersion="8" minRefreshableVersion="5">
    <extLst>
      <ext xmlns:x15="http://schemas.microsoft.com/office/spreadsheetml/2010/11/main" uri="{DE250136-89BD-433C-8126-D09CA5730AF9}">
        <x15:connection id="a5f90500-4c6d-4a0a-bfb2-2684aaca1b64"/>
      </ext>
    </extLst>
  </connection>
  <connection id="2" name="Query - Table047 (Page 16)" description="Connection to the 'Table047 (Page 16)' query in the workbook." type="100" refreshedVersion="8" minRefreshableVersion="5">
    <extLst>
      <ext xmlns:x15="http://schemas.microsoft.com/office/spreadsheetml/2010/11/main" uri="{DE250136-89BD-433C-8126-D09CA5730AF9}">
        <x15:connection id="e6a83b5f-4016-42ac-9f2c-0f6a9a035f78"/>
      </ext>
    </extLst>
  </connection>
  <connection id="3" name="Query - Table048 (Page 17)" description="Connection to the 'Table048 (Page 17)' query in the workbook." type="100" refreshedVersion="8" minRefreshableVersion="5">
    <extLst>
      <ext xmlns:x15="http://schemas.microsoft.com/office/spreadsheetml/2010/11/main" uri="{DE250136-89BD-433C-8126-D09CA5730AF9}">
        <x15:connection id="914c3402-ba5f-4e69-aa00-e5003b90f3bd"/>
      </ext>
    </extLst>
  </connection>
  <connection id="4" name="Query - Table049 (Page 18)" description="Connection to the 'Table049 (Page 18)' query in the workbook." type="100" refreshedVersion="8" minRefreshableVersion="5">
    <extLst>
      <ext xmlns:x15="http://schemas.microsoft.com/office/spreadsheetml/2010/11/main" uri="{DE250136-89BD-433C-8126-D09CA5730AF9}">
        <x15:connection id="ac26b652-49cc-4521-bdb5-7a1c4fe7249b"/>
      </ext>
    </extLst>
  </connection>
  <connection i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<sst xmlns="http://schemas.openxmlformats.org/spreadsheetml/2006/main" count="1532" uniqueCount="963">
  <si>
    <t>BOTSWANA: CREDIT INFORMATION REGULATIONS, 2022 - FORM G</t>
  </si>
  <si>
    <t>Field Name</t>
  </si>
  <si>
    <t>PERSONAL CONSUMER INFORMATION</t>
  </si>
  <si>
    <t>Y</t>
  </si>
  <si>
    <t>Surname</t>
  </si>
  <si>
    <t>Name</t>
  </si>
  <si>
    <t>Title (x2)</t>
  </si>
  <si>
    <t>Marital Status</t>
  </si>
  <si>
    <t>Gender</t>
  </si>
  <si>
    <t>Nationality</t>
  </si>
  <si>
    <t>Date of Birth</t>
  </si>
  <si>
    <t>Identity Number</t>
  </si>
  <si>
    <t>Passport Number</t>
  </si>
  <si>
    <t>Cellphone Number (x2)</t>
  </si>
  <si>
    <t>Telephone Number (Home) (x2)</t>
  </si>
  <si>
    <t>Telephone Number (Work) (x2)</t>
  </si>
  <si>
    <t>Email Address</t>
  </si>
  <si>
    <t>ADDRESS INFORMATION</t>
  </si>
  <si>
    <t>Postal Address</t>
  </si>
  <si>
    <t>Current Physical Address</t>
  </si>
  <si>
    <t>Owner/Tenant</t>
  </si>
  <si>
    <t>EMPLOYMENT AND BANK ACCOUNT INFORMATION</t>
  </si>
  <si>
    <t>Employer</t>
  </si>
  <si>
    <t>Occupation</t>
  </si>
  <si>
    <t>Period of employment</t>
  </si>
  <si>
    <t>Income</t>
  </si>
  <si>
    <t>Income Frequency</t>
  </si>
  <si>
    <t>Current Account Details</t>
  </si>
  <si>
    <t>Bank Name</t>
  </si>
  <si>
    <t>Type of Account</t>
  </si>
  <si>
    <t>Branch name and code</t>
  </si>
  <si>
    <t>Date Account Opened</t>
  </si>
  <si>
    <r>
      <t xml:space="preserve">Old Account Details </t>
    </r>
    <r>
      <rPr>
        <b/>
        <u/>
        <sz val="9.5"/>
        <color rgb="FFFF0000"/>
        <rFont val="Times New Roman"/>
        <family val="1"/>
      </rPr>
      <t>(if any)</t>
    </r>
  </si>
  <si>
    <t>Date Account closed</t>
  </si>
  <si>
    <t>LOAN AND REPAYMENT DETAILS</t>
  </si>
  <si>
    <t>Is it a joint loan?: Yes/No</t>
  </si>
  <si>
    <t>Number of participants in joint loan (x2)</t>
  </si>
  <si>
    <t>Third party name (x2)</t>
  </si>
  <si>
    <t>Third Party Home Telephone</t>
  </si>
  <si>
    <t>Third party Work Telephone</t>
  </si>
  <si>
    <t>Third party cellphone number</t>
  </si>
  <si>
    <t>Opening Balance/Credit Limit</t>
  </si>
  <si>
    <t>Current Balance</t>
  </si>
  <si>
    <t>Instalment Amount</t>
  </si>
  <si>
    <t>Repayment Frequency</t>
  </si>
  <si>
    <t>Loan Terms</t>
  </si>
  <si>
    <t>Payment Type</t>
  </si>
  <si>
    <t>Deferred Payment Start Date</t>
  </si>
  <si>
    <t>Months in arrears</t>
  </si>
  <si>
    <t>Date on which last payment was received</t>
  </si>
  <si>
    <t>Last Payment Date</t>
  </si>
  <si>
    <t>Current Balance Debit Indicator</t>
  </si>
  <si>
    <t>Amount Overdue</t>
  </si>
  <si>
    <t>Status Code</t>
  </si>
  <si>
    <t>Any other adverse consumer information</t>
  </si>
  <si>
    <t>ADDITIONAL INFORMATION</t>
  </si>
  <si>
    <t>Old Supplier Reference Number</t>
  </si>
  <si>
    <t>Filler</t>
  </si>
  <si>
    <t>Supplier reference number (x2)</t>
  </si>
  <si>
    <t>Transaction Date (x2)</t>
  </si>
  <si>
    <t>All these fields cannot be mandatory</t>
  </si>
  <si>
    <t>We need to understand what Status codes must be catered for and the rules surrounding these in order for data supplier  to be able to develop their extract processes correctly.</t>
  </si>
  <si>
    <t>Adverse information can only be submitted as part of a status code update.  Other adverse informtaion such as judgments or sequestrations will be listed under the default and judgments sections of a consumers credit report.</t>
  </si>
  <si>
    <t>This field should be considered to be utilized in the file header which has to be outlined in a specification on how to populate.</t>
  </si>
  <si>
    <t>You cannot stipulate a transaction date for a monthly file but rather use the header to determine same.</t>
  </si>
  <si>
    <t>Has the regulator considered if daily file updates will be submitted and what is the criteria for same.</t>
  </si>
  <si>
    <t xml:space="preserve">We currently create SRN for suppliers when new products are launched as this allows for the bureaus to be able to report such to the regulator based on a unique supplier number.  Has the Regulator taken that into consideration as it is incumbenet for every data supplier to be allocated an SRN for each different product type. </t>
  </si>
  <si>
    <t>Validation rules will need to be created per account type in order to ensure that high standard of data quality.</t>
  </si>
  <si>
    <t>Failing to implement validations will result in incomplete data submissions and bad data being ingested which will not allow users of the data to make informed credit and risk decisions.</t>
  </si>
  <si>
    <t>Is this necessary and if so what should be populated here.  Example, Married, Single, Divorced etc.</t>
  </si>
  <si>
    <t>We require definitions and validations for each field</t>
  </si>
  <si>
    <t>This field will always state the date of last payment so above fieldd becomes redundant</t>
  </si>
  <si>
    <t>This field has no relevance</t>
  </si>
  <si>
    <t>General Financial Field Population and Reference details</t>
  </si>
  <si>
    <t>Financial Field Population and composition</t>
  </si>
  <si>
    <t>The categorisations discussed below include the following account types:</t>
  </si>
  <si>
    <t>Standard Credit Agreements: may include account types: B, D, H, I, M, N, P, T and Y</t>
  </si>
  <si>
    <t>Credit Facility Agreements may include account types: B, C, E, G, H, O, R, V and Z</t>
  </si>
  <si>
    <t>Opening Balance / Loan Amount / Credit Limit:</t>
  </si>
  <si>
    <t> The inception value or limit available in reporting month.</t>
  </si>
  <si>
    <t>o In the case of a standard Credit Agreement</t>
  </si>
  <si>
    <t> The Capital amount at the inception of the agreement inclusive of costs and/or fees which are capitalised</t>
  </si>
  <si>
    <t> May not include future costs, fees, interest or insurance over the term</t>
  </si>
  <si>
    <t>o In the case of a Credit Facility,</t>
  </si>
  <si>
    <t> The Facility limit / Credit limit granted to the consumer and which will appear on the consumers statement in the month being reported</t>
  </si>
  <si>
    <t> This is expected to change if the limit is altered/reviewed at any point</t>
  </si>
  <si>
    <t> No maximum / shadow limits to be reported</t>
  </si>
  <si>
    <t>o In the case of Overdrafts</t>
  </si>
  <si>
    <t> The Facility limit / Credit limit granted to the consumer</t>
  </si>
  <si>
    <t>o In the case of insurance or incidental</t>
  </si>
  <si>
    <t> This should be zero</t>
  </si>
  <si>
    <t>Current Balance:</t>
  </si>
  <si>
    <t> The balance of the account as at month end.</t>
  </si>
  <si>
    <t> The balance of the account (capital still owing) + costs, fees &amp; interest as at the month end being reported</t>
  </si>
  <si>
    <t> No future costs fees or interest is to be reported</t>
  </si>
  <si>
    <t>Note: the above applies to deferred payment accounts also</t>
  </si>
  <si>
    <t>o In the case of a Credit Facility</t>
  </si>
  <si>
    <t> If available but not in use or paid up this should be 0</t>
  </si>
  <si>
    <t> The value utilised / accessed and owing</t>
  </si>
  <si>
    <t> The Current balance may be reported as</t>
  </si>
  <si>
    <t> in credit if this is the case Note: the above applies to deferred payment accounts also</t>
  </si>
  <si>
    <t>o In the Case of Overdrafts</t>
  </si>
  <si>
    <t> No Credit Current balances may be reported</t>
  </si>
  <si>
    <t>o In the case of Insurance</t>
  </si>
  <si>
    <t> This should be the value being sought from the consumer (present months premium)</t>
  </si>
  <si>
    <t>o In the case of Incidental</t>
  </si>
  <si>
    <t> This should be the balance of the consumers account (usage, fees, charges etc. less payments received for the reporting period)</t>
  </si>
  <si>
    <t> The Current balance may be reported as in credit if this is the case</t>
  </si>
  <si>
    <t>Instalment:</t>
  </si>
  <si>
    <t> The amount which is expected from the consumer in order to ensure the account will remain current</t>
  </si>
  <si>
    <t> All values reported must be as at the reporting month and not include any future billing which are not being sought from the consumer in the month of reporting.</t>
  </si>
  <si>
    <t> The instalment which will be sought from the consumer in accordance with the credit agreement, inclusive of costs, fees, insurance and other charges which may be incurred monthly (club fees, product fees)</t>
  </si>
  <si>
    <t>Exception: If a deferred payment type and date are populated then the instalment should reflect the expected instalment at the deferred date (thus may include future insurance, costs and interest to the point of the expected payment).</t>
  </si>
  <si>
    <t> Where there is a variable instalment based on usage, then this should be what will be sought from the consumer in accordance with the credit agreement inclusive of costs, fees, insurance and other charges which may be incurred monthly (club fees, product fees)</t>
  </si>
  <si>
    <t> For Facility accounts the instalment must include any overdue amounts</t>
  </si>
  <si>
    <t> Instalments are only expected where the facility has been revoked and an agreed instalment is required and agreed with the consumer</t>
  </si>
  <si>
    <t> OR where there has been a forced or voluntary limit reduction and an agreed instalment / payment is expected / agreed in order to reduce the facility limit</t>
  </si>
  <si>
    <t> this should be the value being sought from the consumer (present months premium)</t>
  </si>
  <si>
    <t>o In the case of incidental</t>
  </si>
  <si>
    <t> This should be the value being sought from the consumer (including usage, fees, insurance, admin, and any other charges)</t>
  </si>
  <si>
    <t> For incidental accounts the instalment must include any overdue amounts</t>
  </si>
  <si>
    <t>Overdue:</t>
  </si>
  <si>
    <t> Total value which has not been received within the agreed repayment period (monthly, weekly, annually) etc.</t>
  </si>
  <si>
    <t> This value should be including overdue costs, overdue insurance and overdue Interest.</t>
  </si>
  <si>
    <t>o Where there is an agreed Contractual instalment for the accounts type the overdue contractual instalments or portions thereof should be reported as overdue (the instalments which have not been met or portion of instalment not met depending on your business deems to be overdue)</t>
  </si>
  <si>
    <t>o Where there is a variable instalment for the account type the overdue which has not been paid within the agreed repayment period should be included in the instalment being sought i.e. if an account is payable monthly then overdue should be the combined total of 30+ days</t>
  </si>
  <si>
    <t> For Overdraft</t>
  </si>
  <si>
    <t>o This should be the variance between the credit limit and the current balance, assuming the limit is revoked or the credit limit is reduce monthly or set to zero.</t>
  </si>
  <si>
    <t>All Financial data should always reflect the values which the consumer would view on his / her statement for the reporting month</t>
  </si>
  <si>
    <t>Status Code Process Rules and Requirements</t>
  </si>
  <si>
    <t> Status codes must be submitted, once, in the month of occurrence along with the date of this occurrence and then the status code, if no change has occurred and is the same as the previous month, must be removed from subsequent monthly submissions.</t>
  </si>
  <si>
    <t>Field #</t>
  </si>
  <si>
    <t>Table to be reference where applicable</t>
  </si>
  <si>
    <t>Max Length</t>
  </si>
  <si>
    <t>Format</t>
  </si>
  <si>
    <t>Field Status</t>
  </si>
  <si>
    <t xml:space="preserve">Characters Allowed </t>
  </si>
  <si>
    <t>Warn / reject</t>
  </si>
  <si>
    <t>Daily / Monthly</t>
  </si>
  <si>
    <t>Rule Type</t>
  </si>
  <si>
    <t>Validation Rule</t>
  </si>
  <si>
    <t>RECORD TYPE INDICATOR</t>
  </si>
  <si>
    <t>A</t>
  </si>
  <si>
    <t>M</t>
  </si>
  <si>
    <t>Rejection</t>
  </si>
  <si>
    <t>Monthly</t>
  </si>
  <si>
    <t>Financial</t>
  </si>
  <si>
    <t>SUPPLIER REFERENCE NUMBER</t>
  </si>
  <si>
    <t>AN</t>
  </si>
  <si>
    <t>[A-Z], [0-9]</t>
  </si>
  <si>
    <t>Supplier Reference number is mandatory</t>
  </si>
  <si>
    <t>MONTH END DATE</t>
  </si>
  <si>
    <t>Date</t>
  </si>
  <si>
    <t>CCYYMMDD</t>
  </si>
  <si>
    <t>Format and length Date 8</t>
  </si>
  <si>
    <t>VERSION NUMBER</t>
  </si>
  <si>
    <t>N</t>
  </si>
  <si>
    <t>[0-9]</t>
  </si>
  <si>
    <t>Version 01</t>
  </si>
  <si>
    <t>[A-Z]</t>
  </si>
  <si>
    <t>To be populated as “T”</t>
  </si>
  <si>
    <t>NUMBER OF RECORDS</t>
  </si>
  <si>
    <t>Must match number of records in file. Excluding Header and Trailer record</t>
  </si>
  <si>
    <t>Code</t>
  </si>
  <si>
    <t>Description</t>
  </si>
  <si>
    <t>C</t>
  </si>
  <si>
    <t>Closure Record</t>
  </si>
  <si>
    <t xml:space="preserve">D </t>
  </si>
  <si>
    <t>Data Record</t>
  </si>
  <si>
    <t>H</t>
  </si>
  <si>
    <t>Header Record</t>
  </si>
  <si>
    <t>R</t>
  </si>
  <si>
    <t>Registration Record</t>
  </si>
  <si>
    <t>T</t>
  </si>
  <si>
    <t>Trailer Record</t>
  </si>
  <si>
    <t>Definition</t>
  </si>
  <si>
    <t>02</t>
  </si>
  <si>
    <t>Joint Loan</t>
  </si>
  <si>
    <t>Account Closed</t>
  </si>
  <si>
    <t>D</t>
  </si>
  <si>
    <t>Disputed</t>
  </si>
  <si>
    <t>E</t>
  </si>
  <si>
    <t>Terms Extended</t>
  </si>
  <si>
    <t>I</t>
  </si>
  <si>
    <t>J</t>
  </si>
  <si>
    <t>Repossession</t>
  </si>
  <si>
    <t>L</t>
  </si>
  <si>
    <t>Handed Over</t>
  </si>
  <si>
    <t>P</t>
  </si>
  <si>
    <t>V</t>
  </si>
  <si>
    <t>W</t>
  </si>
  <si>
    <t>Written Off</t>
  </si>
  <si>
    <t>Z</t>
  </si>
  <si>
    <t>Deceased</t>
  </si>
  <si>
    <t>A1</t>
  </si>
  <si>
    <t>File Creation Date</t>
  </si>
  <si>
    <t>Header</t>
  </si>
  <si>
    <t>To be denoted by 'H'</t>
  </si>
  <si>
    <t>01</t>
  </si>
  <si>
    <t>00</t>
  </si>
  <si>
    <t>Other</t>
  </si>
  <si>
    <t>Loan granted to 2 or more consumers who are jointly and severally liable for the debt.</t>
  </si>
  <si>
    <t> If a supplier not in a position to submit subsequent updates to an account once a negative status has been submitted (W ,I, J or L), then the record must be excluded from the submission once the code has been submitted and only resubmitted again in the month where this status changes (i.e. once payment in full is received).</t>
  </si>
  <si>
    <t> Closure status codes (C, T, U and V) are expected in the daily file extracts and will be validated to ensure that use is permissible for the account types being provided. The submission of these is required to be reinforced with a repeat in the monthly file, however, once the repeat has been submitted in the monthly file the status must be dropped from submission in the next monthly file.</t>
  </si>
  <si>
    <t> If an account has no subsequent update and will no longer be used in the business, then the record may be dropped from submission in the month after the status code supplied. Generally this will include records with the following statuses (C,J,T,V,W,Z), unless the business is in a position to update records in a collection environment.</t>
  </si>
  <si>
    <t xml:space="preserve"> Negative Status Codes, defined as enforcement actions, may be displayed for up to two years and may only be removed only if these are deemed to be factually incorrect. </t>
  </si>
  <si>
    <t xml:space="preserve">Length and format of fields must be specified else data suppliers will not know how to develop for each field </t>
  </si>
  <si>
    <t>This field should be called Forename as supplier may tend to provide both Forename and Surname in same field</t>
  </si>
  <si>
    <t>One cannot provide period of employment in a singe field.  Data suppliers will not have this information</t>
  </si>
  <si>
    <t>Field Length</t>
  </si>
  <si>
    <t>Format Alpha or Numeric</t>
  </si>
  <si>
    <t>We also require definitions for each field so that the suppliers of information can develop their extract processes to extract the information per field correctly.</t>
  </si>
  <si>
    <t>The format of the file has not been stipulated by the Regulator</t>
  </si>
  <si>
    <t>There are no field limits or off sets provided so data suppliers will not be able to structure their file formats and dmls correctly</t>
  </si>
  <si>
    <t>Incidental includes account types: F</t>
  </si>
  <si>
    <t>If the postal address is for a P.O Box then follow below guidelines:</t>
  </si>
  <si>
    <t>Postal address 1: P.O Box Number</t>
  </si>
  <si>
    <t>Postal address 2: Suburb</t>
  </si>
  <si>
    <t>Postal address 3: Blank</t>
  </si>
  <si>
    <t>Postal address 4: Blank</t>
  </si>
  <si>
    <t>Postal address postal code: Postal code</t>
  </si>
  <si>
    <t>The ability to store information in a structured manner from suppliers is critical to ensuring that the information received is correctly validated, accepted and stored so that the data can be used as intended.</t>
  </si>
  <si>
    <t>Input Layout'!A1</t>
  </si>
  <si>
    <t>Financial input'!A1</t>
  </si>
  <si>
    <t>Account Status'!A1</t>
  </si>
  <si>
    <t>Record Type'!A1</t>
  </si>
  <si>
    <t>Header &amp; Trailer'!A1</t>
  </si>
  <si>
    <t>Payment Type'!A1</t>
  </si>
  <si>
    <t>Address Population'!A1</t>
  </si>
  <si>
    <t>Status code Rules'!A1</t>
  </si>
  <si>
    <t xml:space="preserve">Loan terms are not applicable to revolving type facilities. The population of this field cannot be mandatory. </t>
  </si>
  <si>
    <t>Account Types'!A1</t>
  </si>
  <si>
    <t>We need to understand the relevnce of this information.  Third party information is only relevant if a book is sold to another company such as a debt collection or debt buyer</t>
  </si>
  <si>
    <t>We require definitions and validations for each field as well as the payment types to use</t>
  </si>
  <si>
    <t>Format and length is N9
Numeric field must be right aligned.
Decimals are not permitted, submit as Whole Rands Only
Where current balance is greater than 0 an instalment is mandatory.
If Current Balance is in Credit then months in arrears must be 00</t>
  </si>
  <si>
    <t>This field is not necessary as it is covered in the next field</t>
  </si>
  <si>
    <t>Must be populated as Married, Single, Divorced or Other</t>
  </si>
  <si>
    <t xml:space="preserve">State the Persons Nationality </t>
  </si>
  <si>
    <t>Post Code</t>
  </si>
  <si>
    <t>Change to Physical Address 1</t>
  </si>
  <si>
    <t>Alpha field must be left aligned and space filled
At least 1 forename or initial is Mandatory
May only contain characters A-Z, apostrophe or hyphen. Imbedded spaces are allowed.</t>
  </si>
  <si>
    <t>Alpha field must be left aligned
Gender must be populated with M or F
May be space filled / blank where not captured</t>
  </si>
  <si>
    <t>Numeric field must be right aligned
Populate Date of Birth as CCYYMMDD
Date of Birth may never be in the future</t>
  </si>
  <si>
    <t>Numeric field must be right aligned or zero filled
This field is mandatory unless Passport or Other ID is supplied</t>
  </si>
  <si>
    <t>Alpha Numeric field must be left aligned or must be space filled / Blank
If you supply Other ID then Date of Birth is mandatory</t>
  </si>
  <si>
    <t>Exception: must be right aligned with no imbedded spaces
May not be zero filled
Must not be defaulted to the supplier’s telephone number under any circumstances. Where this is the case please set to blank.</t>
  </si>
  <si>
    <t>Job Title of the consumer
Only A – Z, 0-9, apostrophe or Hyphen allowed.</t>
  </si>
  <si>
    <t>Mandatory If Income field is populated</t>
  </si>
  <si>
    <t xml:space="preserve">
Alpha field must be left aligned or space filled / blank
Title table to be advised</t>
  </si>
  <si>
    <t>Numeric field must be right aligned.
Decimals are not permitted, submit as Whole Rands Only
The credit limit may not change unless the limit is adjusted.
The credit limit may be set to 0 in instances where the limit has been revoked or the consumer has requested that the account be closed upon repayment in full. If revoked then a status code I is expected.
Opening Balance/Credit limit should never be set to zero if a status other than I is submitted. The Opening Balance may not change unless an additional amount is granted to the consumer on the same account number and the agreement and new loan amount are changed. In this instance it will be expected that an E status code is submitted and the Opening Balance, Current Balance, Instalment and terms must be updated to reflect the new balances.</t>
  </si>
  <si>
    <t>Numeric field must be right aligned.
Instalment is mandatory for this account type if current balance is greater than 0
If the account is paid in advance, the instalment which is generated and deducted from the credit current balance should be populated; a zero instalment will not be accepted under these circumstances.
Decimals are not permitted, submit as Whole Rands Only
 Instalment must be set to zero if one of the following status codes is supplied: C, P, V, and T.</t>
  </si>
  <si>
    <t>Numeric field must be right aligned.
Records must be submitted monthly regardless of repayment frequency.</t>
  </si>
  <si>
    <t>Numeric field must be right aligned
Example: should be supplied as 0006 in the case of a 6 month term</t>
  </si>
  <si>
    <t>Comments on form G</t>
  </si>
  <si>
    <t>Field Rules and Definitions</t>
  </si>
  <si>
    <t>Gross income of the consumer, must be in line with Income frequency
To be used for statistical reporting only
May not be displayed or returned by bureaux, must be fully masked</t>
  </si>
  <si>
    <t>We need to be clear what this is as data submission are based on different products such as CC, Mortgate, PL, retail facility etc.Suggest that this be changed to Account Number</t>
  </si>
  <si>
    <t>Bank Name / Account Number</t>
  </si>
  <si>
    <t>Type of Account / Account Loan Type</t>
  </si>
  <si>
    <t xml:space="preserve">Suggest change to Branch Code </t>
  </si>
  <si>
    <t>Type of account generally refers to a transactional account so this is not relevant for other product types. Suggest that this field be changed to Account / Loan Type</t>
  </si>
  <si>
    <r>
      <t xml:space="preserve">PART OF UNIQUE MATCH KEY
Exception: This field MUST be Right aligned and space filled
Do not zero fill or use preceding zero’s unless the consumer’s actual account and your systems have zero filled account numbers, if changed or varied will result in duplicates being created.
The account number which is billed and to which a payment received from the consumer is allocated.
May only be populated with A to Z, 0 to 9, ‘/’, ‘\’, ‘-‘and ensure spaces are removed if these appear within your account number. If this is a change from your present submission in another layout, please liaise
with the bureaus on change requirements.
This is the account number which the consumer would have to furnish in the case of a query with you on their billing.
</t>
    </r>
    <r>
      <rPr>
        <sz val="9"/>
        <color rgb="FFFF0000"/>
        <rFont val="Aptos Narrow"/>
        <family val="2"/>
        <scheme val="minor"/>
      </rPr>
      <t>Note: this field is not to reference the consumers bank account number</t>
    </r>
  </si>
  <si>
    <t>Alpha field must be left aligned must be space filled
Populate with the Account Type applicable to the product
Must match the type of agreement entered into by the consumer</t>
  </si>
  <si>
    <t xml:space="preserve">Numeric field must be right aligned.
Populate as CCYYMMDD
Date may not be in the future
This should always be the original account opened date
Where an agreement is extended or renegotiated before the original agreement is complete, the original account opened date must be retained where possible.
Where a consumer has two or more accounts with a supplier the opened date supplied should be the date for the specific account sub account, branch combination 
</t>
  </si>
  <si>
    <t xml:space="preserve">What is the intended purpose of including these field.  If we understand the purpose, we can make a recommendation on how best to accommodate.  </t>
  </si>
  <si>
    <t>Suggest that an Ownership type field be implemented</t>
  </si>
  <si>
    <t xml:space="preserve">Numeric Field must be right aligned
Where Ownership Type (Field 25) is 02 (Joint Loan) this field becomes Mandatory.
It will be expected that the number of participants in the loan matches the number of records in the file with the same account, sub account and branch information and that the financial fields reported for the account, per consumer, match exactly. 
</t>
  </si>
  <si>
    <t>Alpha field must be left aligned and must be space filled
Payment types refer to the method of payment which the account affords (table available)
I.e. is the payment made by payroll deduction or is the payment deferred for a period before the first instalment is expected (payment holiday)
It is also an indicator of the state of the account in regard to restructure, consolidation, administration etc.
As an example, if an account is a payroll deduction but is under restructure, you are not in a position to send both indicators, at this point the prioritization indicated will apply and thus you will send the account as under restructure.</t>
  </si>
  <si>
    <t xml:space="preserve">Numeric field must be right aligned.
Populate as 00 if there are no arrears.
Example: if an account is 2 months in arrears is then submit as 02
For Monthly files:
If months in arrears is populated with a value greater than 00 then a value must be supplied in the Overdue Balance field  
Months in arrears must not be greater than the number of months an
account has been open.
Months in arrears should be indicative of actual arrears
Population and business process at the supplier should dictate if this field is populated when an overdue balance is noted  where this balance is less than 30 days outstanding. Care should be taken when
reporting consumer accounts as one month in arrears at extract if the consumer is less than 30 days in arrears as this may be disputed as an inaccurate reflection of the account.
If a status codes of W,I,J,L are submitted then amount overdue and months in arrears is mandatory
</t>
  </si>
  <si>
    <t>Numeric field must be right aligned.
Populate as CCYYMMDD
Refers to the date the last payment was received by the credit provider and not the final end date of the credit agreement
Zero fill if no payment has been received
May not be zero filled if a last payment date was submitted in the last 36 months and it is not a reactivated account
Date may not be in the future, Date may not be older than 36 months from header month end date, unless a status date is supplied and the status date is within the 36 month period
May not be prior to the account opened date except for new accounts where a deposit has been taken.</t>
  </si>
  <si>
    <t>Alpha Field must be left aligned
Current Balance indicator must populated as either D or C:
D - when the consumer has a balance outstanding or the current balance is 00000000
C - where the consumer is in credit
If Current Balance is in Credit then months in arrears must be 00</t>
  </si>
  <si>
    <t xml:space="preserve">Format and length is A2
Alpha Field must be left aligned
If a status code is populated then a status date  is mandatory.
Status codes submitted must exist and be allowed for this account type or the record will be rejected.
Only Statuses P&amp;D may recur month on month
All other statuses must be submitted, once, in the month of occurrence, with a relevant status date
Negative statuses may not be resubmitted for the same action with an altered date
Opening Balance/Credit limit should not be set to zero if a status is submitted, with the exception of status code I
</t>
  </si>
  <si>
    <t xml:space="preserve">We suggest the inclusion of this field. </t>
  </si>
  <si>
    <t>Status Date</t>
  </si>
  <si>
    <t xml:space="preserve">Numeric field must be right aligned.
Populate as CCYYMMDD
Zero fill if no status date is applicable and no status code is populated.
Population is Mandatory if status code is populated
Date may not be in the future
</t>
  </si>
  <si>
    <t xml:space="preserve"> </t>
  </si>
  <si>
    <t>In the interest of consistent reporting by all suppliers the following guidelines have been applied and must be considered when extracting the required financial fields</t>
  </si>
  <si>
    <t>If the Residential address supplied is a Building Address the section should be completed as follows:</t>
  </si>
  <si>
    <t>If the Residential Address supplied is a Street Address the section should be completed as follows:</t>
  </si>
  <si>
    <t>Record Type</t>
  </si>
  <si>
    <t>Each record submitted in the monthly file must be indicated by the presence of the “D”</t>
  </si>
  <si>
    <t xml:space="preserve">Alpha Field must be left aligned and space filled
Surname is Mandatory 
May only contain characters A-Z, apostrophe and hyphen and imbedded spaces are allowed.
</t>
  </si>
  <si>
    <t>if the @ sign is not present then flag the record.  if the top level domain starts with a "." then flag the record.  if there is no character before "@" sign, then flag the record.</t>
  </si>
  <si>
    <t>Address 3: Suburb</t>
  </si>
  <si>
    <t>Address 4: City</t>
  </si>
  <si>
    <t>Address Postal Code: Postal Code</t>
  </si>
  <si>
    <t>Should contain Street Number and Street Name or building Number and Building Name.</t>
  </si>
  <si>
    <t>Address 1: Street Number and Street Name</t>
  </si>
  <si>
    <t>Address 1: Building Number and Building Name  + Street</t>
  </si>
  <si>
    <t>Provide Suburb</t>
  </si>
  <si>
    <t>Provide Suburb City</t>
  </si>
  <si>
    <t>Alpha field must be left aligned and space filled
May only be populated with O or T
If unknown then must be supplied as space filled / blank</t>
  </si>
  <si>
    <t xml:space="preserve">Name of Company at which consumer is employed
If ownership type is 01 (Sole Proprietor) this field should be populated with the consumers Business name
This field may not be defaulted to the consumers name and / or surname &amp; must not be zero (0) filled.
Do not precede with Trading as, T/A or any variant thereof
</t>
  </si>
  <si>
    <t xml:space="preserve">Account Type </t>
  </si>
  <si>
    <t xml:space="preserve">Name of Account type </t>
  </si>
  <si>
    <t xml:space="preserve">Product description / criteria for use </t>
  </si>
  <si>
    <t xml:space="preserve">B </t>
  </si>
  <si>
    <t>Building Loan</t>
  </si>
  <si>
    <t>Loans which are granted independently of a Bond account which are specifically for use in building, either in additions or from foundation.</t>
  </si>
  <si>
    <t>These are generally consumed in portions as the build progresses.</t>
  </si>
  <si>
    <t>Requires the Submission of both daily files for registrations and closures as well as monthly files</t>
  </si>
  <si>
    <t>C,D,E,I,J,L,P,T,V,W,Z</t>
  </si>
  <si>
    <t>C,T,V</t>
  </si>
  <si>
    <t xml:space="preserve">C </t>
  </si>
  <si>
    <t>Credit Card</t>
  </si>
  <si>
    <t>Account where an available allowed facility is granted, payment commitments in line with the agreed timelines must be made in order that the facility can be retained.</t>
  </si>
  <si>
    <t>C,D,E,I,L,P,T,V,W,Z</t>
  </si>
  <si>
    <t>Debt Recovery</t>
  </si>
  <si>
    <t>Where an account has previously written off and is now in the collections environment</t>
  </si>
  <si>
    <t xml:space="preserve">*Use of this account type must be requested and authorized by SACRRA Executive Director directly* </t>
  </si>
  <si>
    <t>C,D,E,L,T,V,W,Z</t>
  </si>
  <si>
    <t xml:space="preserve">E </t>
  </si>
  <si>
    <t>Single Credit Facility</t>
  </si>
  <si>
    <t>A facility where numerous products have been combined or where facility allows for various transaction types to occur within an agreed available limit at a specific rate.</t>
  </si>
  <si>
    <t xml:space="preserve">F </t>
  </si>
  <si>
    <t>Open - Services</t>
  </si>
  <si>
    <t>Service type accounts which do not have a credit limit but where the total expenditure in the previous month is expected to be paid in full after each cycle. This will include the accounts such as: Telecoms, Security, Cellular, Subscription accounts for value add services (prepaid etc.)</t>
  </si>
  <si>
    <t>C,D,E,L,P,V,W,Z</t>
  </si>
  <si>
    <t>C,V</t>
  </si>
  <si>
    <t xml:space="preserve">G </t>
  </si>
  <si>
    <t xml:space="preserve">Garage </t>
  </si>
  <si>
    <t>Only Independent Cards which are not paid by automatic transfer linked to a credit card account, if automatic transfer linked to credit card, the expenditure on this card must be included in the credit card submission</t>
  </si>
  <si>
    <t xml:space="preserve">H </t>
  </si>
  <si>
    <t xml:space="preserve">Home loan </t>
  </si>
  <si>
    <t>Bond accounts, including “Access Bond” type accounts which are not considered to be single credit facilities.</t>
  </si>
  <si>
    <t>C,D,E,J,L,P,T,V,W,Z</t>
  </si>
  <si>
    <t xml:space="preserve">I </t>
  </si>
  <si>
    <t xml:space="preserve">Instalment </t>
  </si>
  <si>
    <t>Where an instalment agreement is signed. A specific instalment is expected for the purchase of goods.</t>
  </si>
  <si>
    <t>C,D,E,J,L,T,V,W,Z</t>
  </si>
  <si>
    <t>Life Insurance</t>
  </si>
  <si>
    <t>D,F,G,H,K,M,S,Z</t>
  </si>
  <si>
    <t xml:space="preserve">M </t>
  </si>
  <si>
    <t>Personal Loan</t>
  </si>
  <si>
    <t>Loan granted to consumer for use in his personal capacity where the loan is to be repaid within 1 month</t>
  </si>
  <si>
    <t xml:space="preserve">N </t>
  </si>
  <si>
    <t>Secured Pension /</t>
  </si>
  <si>
    <t>Policy Backed</t>
  </si>
  <si>
    <t xml:space="preserve">Lending </t>
  </si>
  <si>
    <t>Loan granted against a pension / policy</t>
  </si>
  <si>
    <t>Must be treated in the same way as a personal loan</t>
  </si>
  <si>
    <t>C,D,E,L,J,T,V,W,Z</t>
  </si>
  <si>
    <t xml:space="preserve">O </t>
  </si>
  <si>
    <t>Open - Limitless</t>
  </si>
  <si>
    <t>C,D,E,I,L,P,W,Z</t>
  </si>
  <si>
    <t xml:space="preserve">P </t>
  </si>
  <si>
    <t>Personal loan</t>
  </si>
  <si>
    <t>Loan granted to consumer for use in his personal capacity where the loan is to be repaid over a term greater than 1 month</t>
  </si>
  <si>
    <t xml:space="preserve">R </t>
  </si>
  <si>
    <t>Revolving Credit  Store Cards</t>
  </si>
  <si>
    <t xml:space="preserve">T </t>
  </si>
  <si>
    <t xml:space="preserve">Student Loan </t>
  </si>
  <si>
    <t>Use only if the product is paid directly to the Tertiary Institution.</t>
  </si>
  <si>
    <t xml:space="preserve">If funds are dispersed directly to the consumer, please use M or P. </t>
  </si>
  <si>
    <t xml:space="preserve">V </t>
  </si>
  <si>
    <t>Overdraft</t>
  </si>
  <si>
    <t>Overdraft Facility</t>
  </si>
  <si>
    <t xml:space="preserve">In development </t>
  </si>
  <si>
    <t xml:space="preserve">Y </t>
  </si>
  <si>
    <t>Vehicle Asset Finance</t>
  </si>
  <si>
    <t xml:space="preserve">Vehicle Asset Finance </t>
  </si>
  <si>
    <t xml:space="preserve">PART OF UNIQUE MATCH KEY
Exception: This field MUST be Right aligned and space filled
Do not zero fill or use preceding zero’s unless the consumer’s actual account and your systems have zero filled account numbers, if changed or varied will result in duplicates being created.
May only be populated with A to Z, 0 to 9, ‘/’, ‘\’, ‘-‘and ensure spaces are removed if these appear within your account number. If this is a change from your present submission in another layout, please liaise
with the bureaus on change requirements.
</t>
  </si>
  <si>
    <t>Suggest Add Sub Account Number field</t>
  </si>
  <si>
    <t>Sub Account Number</t>
  </si>
  <si>
    <t>To be denoted by Y or N</t>
  </si>
  <si>
    <t xml:space="preserve">Numeric field must be right aligned.
Decimals are not permitted, submit as Whole Rands Only
For Monthly files
Overdue Balance may be populated with 00 months in arrears Populate with the balance of cumulative missed payments
If months in arrears field is greater than 0 then amount overdue is mandatory
If a status codes of W,I,J or L are submitted then amount overdue and months in arrears is mandatory
If Status code of W or J is supplied then Amount Overdue must reflect the write off / repossession value in order to create and accurate public domain record.
Amount overdue must be set to zero if one of the following status codes is supplied: C, P, T, and V.
</t>
  </si>
  <si>
    <t>Numeric field must be right aligned.
Populate as CCYYMMDD
Population is Mandatory if Payment type is 02
Zero fill if not in use
Supply date of next expected payment date or the month end of this expected payment
Date may not be in the past
Date may not be more than 23 months in the future
On daily closures and upon provision of a status in the monthly file set to C or D then this should be set to zero upon submission</t>
  </si>
  <si>
    <t xml:space="preserve">The Header and Trailer will be the first and last lines of the data extract respectively.  </t>
  </si>
  <si>
    <t xml:space="preserve">CODE </t>
  </si>
  <si>
    <t xml:space="preserve">DESCRIPTION </t>
  </si>
  <si>
    <t xml:space="preserve">DEFINITION </t>
  </si>
  <si>
    <t>Account fully paid and has been closed.</t>
  </si>
  <si>
    <t>May be used for any account type with the exception of S &amp; L</t>
  </si>
  <si>
    <t>May be used in Daily and Monthly files</t>
  </si>
  <si>
    <t>Current balance, Overdue Balance, Months in arrears and instalment amount must be set to zero upon submission.</t>
  </si>
  <si>
    <t>Accounts may be reopened after a C status codes has been supplied in the following circumstances:</t>
  </si>
  <si>
    <t>An indicator to remove the record from display while a dispute is investigated</t>
  </si>
  <si>
    <t>May only be used in monthly files</t>
  </si>
  <si>
    <t>May be repeated</t>
  </si>
  <si>
    <t>Submission of this code at any stage may require manual intervention at a bureaux to remove, please use this code very carefully or manage disputes via manual processes</t>
  </si>
  <si>
    <t>Repayment terms have been extended.</t>
  </si>
  <si>
    <t>May only be used in Monthly files</t>
  </si>
  <si>
    <t>To be accompanied by a payment type of 06 or 08.</t>
  </si>
  <si>
    <t>A change in terms and update of the instalment field will be expected This code should not be submitted in instances of temporary instalment deferment, deferred payment should be utilised in those instances.</t>
  </si>
  <si>
    <t>Facility Revoked</t>
  </si>
  <si>
    <t>Supplier has revoked access to the facility</t>
  </si>
  <si>
    <t>May only be used for account types B, C, E, G, O, R, V or Z</t>
  </si>
  <si>
    <t xml:space="preserve">Current Balance, Instalment, Overdue balance and Months in arrears must be populated with the relevant balances </t>
  </si>
  <si>
    <t>May only be used for account types   B, E, H, I, N or Y</t>
  </si>
  <si>
    <t>Account handed over to attorney or collection agency for recovery but still owned by the Member.</t>
  </si>
  <si>
    <t>Can be used for all account types except L &amp; S</t>
  </si>
  <si>
    <t>Paid Up</t>
  </si>
  <si>
    <t>Account paid up but may become active in the future.</t>
  </si>
  <si>
    <t>Current balance, overdue and instalment amount are to be set to zero upon submission, unless Current balance is in credit, if this is the case you may send the credit current balances but ensure that the debit credit indicator is supplied as C for the current balance field.</t>
  </si>
  <si>
    <t>Months in arrears should not be greater than 0, never supply as the number of payment in advance if a credit current balance has been submitted Status code P is only allowed for account types B, C, E, F, G, H, O, R, U, V, W, Z</t>
  </si>
  <si>
    <t>Current balance, overdue, months in arrears and instalment amount are to be set to zero upon submission</t>
  </si>
  <si>
    <t>Outstanding balance settled before agreed term</t>
  </si>
  <si>
    <t>May only be used for Account Types B, D, E, H, I, M, N, P , T and Y</t>
  </si>
  <si>
    <t>Loan settled within the 5 day cooling off period.</t>
  </si>
  <si>
    <t xml:space="preserve">May only be used for Account types B, D, E, F, H, I, M, N, P, T, U, W and Y </t>
  </si>
  <si>
    <t>Account written off due to non-payment</t>
  </si>
  <si>
    <t>Where a consumer has been confirmed as deceased May only be used in Monthly files</t>
  </si>
  <si>
    <t>Cooling off Settlement</t>
  </si>
  <si>
    <t xml:space="preserve">The value should only ever be the value of the write off incurred at the Member and thus the Current balance, Instalment, Overdue and Months in arrears submitted for this status should reflect the balances after the goods have been sold to recoup the outstanding balance of the agreement.  </t>
  </si>
  <si>
    <t>This code may only be submitted in instances where the supplier has incurred a loss.</t>
  </si>
  <si>
    <t>Change to Physical Address 2</t>
  </si>
  <si>
    <t>Change to Physical Address 3</t>
  </si>
  <si>
    <t>Weekly</t>
  </si>
  <si>
    <t>Annually</t>
  </si>
  <si>
    <t xml:space="preserve">Code </t>
  </si>
  <si>
    <t xml:space="preserve">Description </t>
  </si>
  <si>
    <t>Rules</t>
  </si>
  <si>
    <t>Daily</t>
  </si>
  <si>
    <t xml:space="preserve">01 </t>
  </si>
  <si>
    <t>Forthnightly</t>
  </si>
  <si>
    <t>03</t>
  </si>
  <si>
    <t>04</t>
  </si>
  <si>
    <t>Quarterly</t>
  </si>
  <si>
    <t>05</t>
  </si>
  <si>
    <t>Half yearly</t>
  </si>
  <si>
    <t>06</t>
  </si>
  <si>
    <t>Balances should be rolled up</t>
  </si>
  <si>
    <t>Where Monthly payment expected</t>
  </si>
  <si>
    <t>Deferred payment start date should be supplied</t>
  </si>
  <si>
    <t>A 1</t>
  </si>
  <si>
    <t>N 13</t>
  </si>
  <si>
    <t>A 16</t>
  </si>
  <si>
    <t>N 8</t>
  </si>
  <si>
    <t>A 8</t>
  </si>
  <si>
    <t>A 25</t>
  </si>
  <si>
    <t>A 4</t>
  </si>
  <si>
    <t>A 5</t>
  </si>
  <si>
    <t>A 14</t>
  </si>
  <si>
    <t>A 6</t>
  </si>
  <si>
    <t>A 2</t>
  </si>
  <si>
    <t>N 9</t>
  </si>
  <si>
    <t>N 2</t>
  </si>
  <si>
    <t>N 4</t>
  </si>
  <si>
    <t>A 60</t>
  </si>
  <si>
    <t>A 20</t>
  </si>
  <si>
    <t>N 3</t>
  </si>
  <si>
    <t>PASSPORT NUMBER</t>
  </si>
  <si>
    <t>Default payment type</t>
  </si>
  <si>
    <t>Sole Proprietor</t>
  </si>
  <si>
    <t>DO NOT precede the company with T/A or TA (Trading as). Or any variant thereof Bureaux are to warn if this is done.
DO NOT default to the consumers name or surname. Bureaux are to warn if this is done.</t>
  </si>
  <si>
    <t>Partnership</t>
  </si>
  <si>
    <t>the credit facility is
obtained by the partnership
in which the borrower is one
of the partners.</t>
  </si>
  <si>
    <t>The borrowers of the
loan are within a group.</t>
  </si>
  <si>
    <t>Group Loan</t>
  </si>
  <si>
    <t>Data</t>
  </si>
  <si>
    <t>Branch Code</t>
  </si>
  <si>
    <t>Account Number</t>
  </si>
  <si>
    <t>Forename or Initial 1</t>
  </si>
  <si>
    <t>Forename or Initial 2</t>
  </si>
  <si>
    <t>Forename or Initial 3</t>
  </si>
  <si>
    <t>Residential Address Line 1</t>
  </si>
  <si>
    <t>Residential Address Line 2</t>
  </si>
  <si>
    <t>Postal Code of Residential Address</t>
  </si>
  <si>
    <t>Postal Address Line 1</t>
  </si>
  <si>
    <t>Postal Address Line 2</t>
  </si>
  <si>
    <t>Post Code of Postal Address</t>
  </si>
  <si>
    <t>Account Ownership Type</t>
  </si>
  <si>
    <t>Loan Reason</t>
  </si>
  <si>
    <t>A- Fixed installment – The total
amount of principal and interest is
constant on each installment; implies
that interest is computed on declining
balance (French method).
B - Straight line – When principal is
repaid in equal amounts while interest
may be computed on a flat or
declining balance basis (German
method).
C - Single payment loan
D - Irregular repayment schedule</t>
  </si>
  <si>
    <t>Default to 00 for Botswana</t>
  </si>
  <si>
    <t>Defferred Payment Start Date</t>
  </si>
  <si>
    <t>Date on which Last Payment was Received</t>
  </si>
  <si>
    <t>Opening Balance(Disbursed Amount/Credit Limit</t>
  </si>
  <si>
    <t>Months in Arrears</t>
  </si>
  <si>
    <t>Loan Term / Duration</t>
  </si>
  <si>
    <t>Old Supplier Branch Code</t>
  </si>
  <si>
    <t>Old Account Number</t>
  </si>
  <si>
    <t>Old Sub Account No</t>
  </si>
  <si>
    <t>Old Supplier Reference No</t>
  </si>
  <si>
    <t>A10</t>
  </si>
  <si>
    <t>(H) Telephone</t>
  </si>
  <si>
    <t>A16</t>
  </si>
  <si>
    <t>Cellular Telephone</t>
  </si>
  <si>
    <t>(W) Telephone</t>
  </si>
  <si>
    <t>Employer Detail</t>
  </si>
  <si>
    <t>Third Party Name</t>
  </si>
  <si>
    <t>Account Sold to Third Party</t>
  </si>
  <si>
    <t>No of Participants in Joint Loan</t>
  </si>
  <si>
    <t>OMANG ID NUMBER</t>
  </si>
  <si>
    <t>Title / Salutation</t>
  </si>
  <si>
    <t>Status Date / Delinquency Date</t>
  </si>
  <si>
    <t>Provide Town Name</t>
  </si>
  <si>
    <t>Provide Country Name</t>
  </si>
  <si>
    <t>Postal Code</t>
  </si>
  <si>
    <t>Provide Postal code of Suburb</t>
  </si>
  <si>
    <t>If Same as Residential follow Residential rules / If Post Box - supply PO Box Number</t>
  </si>
  <si>
    <t>If Same as Residential follow Residential rules / If Post Box - leave blank</t>
  </si>
  <si>
    <t>Format and length is A2
Alpha field must be left aligned and must be space filled 
Ownership types refer to the type of account holder agreement which 
may affect liability:
I.e. is this account for a sole proprietor (business related) or is 
it a joint loan held by more than one account holder or is it an 
agreement with a single consumer in their private capacity.</t>
  </si>
  <si>
    <t xml:space="preserve">A = Current /Perfoming; SA perfoming is indicated by '0' months in arrears
N = Non perfoming loan; SA - N is Pre reg closure status code
B = Paid Up (Account paid up but can be active e.g.
Revolving Credit); SA - B Prescibed final closure.
X = Paid up default; SA status code no longer in use
O = Overdraft; SA 'O' for overdraft is account type not status code
U = Unpaid Credit Card; SA Settlement of Adverse Arrears.
R = Repossession (Goods have been repossessed due to non-payment); SA End of Data Submission.
P = Restructured; SA Paid up
</t>
  </si>
  <si>
    <t>PART OF UNIQUE MATCH KEY
Format and length is A25
Mandatory when converting accounts
Exception: This field MUST be Right aligned and space filled
Do not zero fill or use preceding zeros as this will result in a failure to 
convert the account previously submitted
See section: Conversion requirements for population and process 
requirements
Caution: where conversion is required, please ensure that the account 
number provided in the Old account number field is an EXACT MATCH 
to the Account number in the previous monthly / daily file. Provision of 
differences will lead to duplicates being created on load conversion.</t>
  </si>
  <si>
    <t>PART OF UNIQUE MATCH KEY
Format and length is A8
Exception: This field MUST be Right aligned and space filled
Do not zero fill or use preceding zeros as this will result in a failure to 
convert the account previously submitted
See section: Conversion requirements for population and process 
requirements
Caution: where conversion is required, please ensure that the branch 
Code provided in the Old Supplier Branch Code field is an EXACT 
MATCH to the branch code number in the previous monthly / daily file. 
Provision of differences will lead to duplicates being created on load 
conversion.</t>
  </si>
  <si>
    <t>PART OF UNIQUE MATCH KEY
Format and length is A4
Exception: This field MUST be Right aligned and space filled
Do not zero fill or use preceding zeros as this will result in a failure to 
convert the account previously submitted
See section: Conversion requirements for population and process 
requirements
Caution: where conversion is required, please ensure that the sub 
account number provided in the Old sub account number field is an 
EXACT MATCH to the sub Account number in the previous monthly / 
daily file. Provision of differences will lead to duplicates being created on 
load conversion.</t>
  </si>
  <si>
    <t>PART OF UNIQUE MATCH KEY
Format and length is A10
Mandatory when converting accounts
Exception: This field MUST be Right aligned and space filled
If converting account details within the same supplier number then this 
field should be populated with the supplier number in the header of the 
file
If converting records across supplier numbers, then this field is to be 
populated with the supplier number from which the account should be 
transferred.
See section on Conversion Requirements for population and process 
requirements
Caution: where conversion is required, please ensure that the old 
supplier reference number provided is an EXACT MATCH to the Supplier 
reference number in the header of the previous monthly file OR the 
supplier reference number of the records in the last daily file. Provision of 
differences will lead to duplicates being created on load conversion.</t>
  </si>
  <si>
    <t>Format and length is N3
Numeric Field must be right aligned
Where Ownership Type (Field 25) is 02 (Joint Loan) this field becomes 
Mandatory.
It will be expected that the number of participants in the loan matches the 
number of records in the file with the same account, sub account and 
branch information and that the financial fields reported for the account, 
per consumer, match exactly</t>
  </si>
  <si>
    <t>Botswana Passport is BN followed by 7 numeric</t>
  </si>
  <si>
    <t>Type of Accounts Differ from other countries. We need to align. Overdraft is not an account type but a status. Need clarity from CRB on why this is the case.</t>
  </si>
  <si>
    <t xml:space="preserve">Opening balance = disbursed loan amount.  </t>
  </si>
  <si>
    <t xml:space="preserve">Required for migration or conversion of accounts.  </t>
  </si>
  <si>
    <t>Should be popualted with weekly, monthly, forthnight, quarterly, annually</t>
  </si>
  <si>
    <t>Format and length is A60
Alpha Field must be left aligned
Mandatory if Account Sold To Third Party (field 54) s populated
Populate with the name of the entity to which the account has been sold
If populated, either a status code or population of the conversion fields is 
expected.
If current accounts are sold:
The accounts in question should either be populated with a C status code 
OR if sold , in order to retain the history on the 
account, the account should be converted via fields 42 – 45 and the 
Conversion Requirements section consulted
If delinquent accounts are sold:
The accounts in question should be submitted with the relevant W or J 
status code OR if sold , in order to retain the history 
on the account, the account should be converted via fields 42 – 45 and 
the Conversion Requirement section consulted</t>
  </si>
  <si>
    <t>Format and length is N2
Numeric Field must be right aligned
If the account has been sold to a Third Party this field should be populated 
with 01 otherwise supply as 00
If populated with 01 then Third Party Name (Field 53) is Mandatory
If current accounts are sold:
The accounts in question should either be populated with a C status code 
OR if sold , in order to retain the history on the 
account, the account should be converted via fields 42 – 45 and the 
Conversion Requirements section consulted
If delinquent accounts are sold:
The accounts in question should be submitted with the relevant W or J 
status code OR if sold , in order to retain the history 
on the account, the account should be converted via fields 42 – 45 and 
the Conversion Requirement section consulted</t>
  </si>
  <si>
    <t>MATCHING INFORMATION</t>
  </si>
  <si>
    <t>Account Information</t>
  </si>
  <si>
    <t>Client Information</t>
  </si>
  <si>
    <t>Account Financial Detail</t>
  </si>
  <si>
    <t>Client Contact Information</t>
  </si>
  <si>
    <t>Amount Overdue - Must be &gt; 0 for supplied Months in Arrears. Months in Arrears &gt; 0. Status Code not in  (B, C, G, H, K, M, P, S, T, X or Z)</t>
  </si>
  <si>
    <t>Amount Overdue - Must be &gt; 0 for supplied Status Code. Status Code in (I, L, J or W)</t>
  </si>
  <si>
    <t>Amount Overdue - Must be &gt; R100 for supplied Status Code. Status Code in (I, L, J or W)</t>
  </si>
  <si>
    <t xml:space="preserve">Account Number is mandatory.  </t>
  </si>
  <si>
    <t>Surname Validation - Surname is &gt;2 characters. Does not contain at least one vowel (A, E, I, O, U or Y)</t>
  </si>
  <si>
    <t>Surname - Contains invalid characters. Allowed characters: [A-Z], [-], ['], [ ]</t>
  </si>
  <si>
    <t>Surname - Mandatory field not populated</t>
  </si>
  <si>
    <t>Forename Validation - No valid Forename provided. Forename1and Forename2 and Forename3 is NULL or Invalid</t>
  </si>
  <si>
    <t>Owenrship type is mandatory. Refer to table for allowed types</t>
  </si>
  <si>
    <t>If Loan Reason Code not = 00 for Botswana data supplier, default to 00 or if loan reason code not supplied, default to 00 and accept record</t>
  </si>
  <si>
    <t>Account Open Date - Mandatory field not populated</t>
  </si>
  <si>
    <t>Account Open Date - Contains invalid characters. Allowed characters: YYYYMMDD</t>
  </si>
  <si>
    <t>Account Open Date - Date must be before Month End Date. Date is &gt;31 days after Month End Date</t>
  </si>
  <si>
    <t>Account Open Date - Date must be before Month End Date. Date is &gt;31 days after Month End Date. Account Type = V</t>
  </si>
  <si>
    <t>Account Open Date - Date must be before Month End Date. Date supplied is a future date. Date is after TODAY()</t>
  </si>
  <si>
    <t>Opening Balance / Credit Limit - Must be &gt; 0 for supplied Account Type, Payment Type and Status Code. Payment Type = 00, 10. Account Type = V. Status Code = NULL</t>
  </si>
  <si>
    <t>Opening Balance / Credit Limit - Must be &gt; 0 for supplied Account Type and Payment Type. Account Type = V. Payment Type = 09</t>
  </si>
  <si>
    <t>Current Balance - Must be &gt; R100 for supplied Status Code. Status Code in (I, L, J or W)</t>
  </si>
  <si>
    <t>Instalment Amount - Must be &gt; 0 for supplied Status Code. Status Code in (E, I, J, L, W or Y)</t>
  </si>
  <si>
    <t>Invalid Status Code for Account Type - Status Code  = P. Account Type not in (B, C, E, F, G, H, O, R, U, V, W or Z)</t>
  </si>
  <si>
    <t>Invalid Status Code for Account Type - Status Code = I. Account Type not in (B, C, E, G, O, R or Z)</t>
  </si>
  <si>
    <t>Invalid Status Code for Account Type - Status Code = J. Account Type not in (B, E, H, I, N or Y)</t>
  </si>
  <si>
    <t>Invalid Status Code for Account Type - Status Code = L. Account Type in (S, L)</t>
  </si>
  <si>
    <t>Invalid Status Code for Account Type - Status Code = T. Account Type not in (B, D, E, H, I, M, N, T or Y)</t>
  </si>
  <si>
    <t>Invalid Status Code for Account Type - Status Code not in (B, C, D, I, L, W, Y, U, P or Z). Account Type = V</t>
  </si>
  <si>
    <t>Third Party Name - Is mandatory for supplied Status Code. Status Code = A</t>
  </si>
  <si>
    <t>Account Sold to 3rd Party - Must = 01 for supplied Status Code. Status Code = A</t>
  </si>
  <si>
    <t>Account Sold to 3rd Party - Must = 01 for supplied Status Code. Account Type = V. Status Code = A</t>
  </si>
  <si>
    <t>No of Participants in Join Loan - Must be &gt; 0 for supplied Ownership Type. Ownership Type = 02</t>
  </si>
  <si>
    <t>X</t>
  </si>
  <si>
    <t>Non Performing Loan</t>
  </si>
  <si>
    <t>Paid Up Default</t>
  </si>
  <si>
    <t xml:space="preserve">U </t>
  </si>
  <si>
    <t>Unpaid credit card</t>
  </si>
  <si>
    <t>Overdrafts</t>
  </si>
  <si>
    <t>Restructured</t>
  </si>
  <si>
    <t>Returned Payment / Bounced Cheque</t>
  </si>
  <si>
    <t>Status code “U” will not be displayed on the consumer’s profile. This code will only act as an instruction to the bureaux to remove the previously reported adverse status code from the consumer’s payment profile.</t>
  </si>
  <si>
    <t>U</t>
  </si>
  <si>
    <t>Removal of Adverse</t>
  </si>
  <si>
    <t>Data record must be = D for monthly update</t>
  </si>
  <si>
    <t>Must be valid DOB and YYYYMMDD Cannont be in future</t>
  </si>
  <si>
    <t>Gender to be supplied as M  = Male  or F = Female</t>
  </si>
  <si>
    <t>Mandatory</t>
  </si>
  <si>
    <t>Conditional</t>
  </si>
  <si>
    <t>Optional</t>
  </si>
  <si>
    <t>Opening Balance / Credit Limit - Must be = 0 for supplied Account Type. Account Type in (F, O, S, U, W, X)</t>
  </si>
  <si>
    <t>Prescription Interrupted Indicator</t>
  </si>
  <si>
    <t>Repeat Status Code. Used to indicate that an account is in arrears and that 
prescription has been lawfully interrupted. This is a silent status code, which acts 
merely as an indicator to the bureaus. Bureaus may not display Status Code Y.</t>
  </si>
  <si>
    <t>B</t>
  </si>
  <si>
    <t>Final Closure</t>
  </si>
  <si>
    <t>To be supplied once. Used to indicate that the debt has prescribed.
No further updates are allowed after Status Code B</t>
  </si>
  <si>
    <t>Suggest that the banks look at the arrears on the account and other elements such as defaults to determine the overall performance of a loan</t>
  </si>
  <si>
    <t>If a credit card is unpaid, this will be indicated by the ageing of that card. As such the card will be listed as 30, 60, 90…etc. days in arrears which is an indication that a card is unpaid.  A default listing can also be used to show this</t>
  </si>
  <si>
    <t>Banks to use Status code U for paid up defaults. We will provide separate addendums to ensure adherence to rules</t>
  </si>
  <si>
    <t>We have a separate account type for Overdrafts.  We would need to understand how Banks supplied Overdraft information to CRB</t>
  </si>
  <si>
    <t>We have a Status code E which can be used for restructured debt</t>
  </si>
  <si>
    <t xml:space="preserve">J is used to indicate a repocession.  Any returned payments should be indicated by a default. </t>
  </si>
  <si>
    <t>Deferred Payment Date - Date is mandatory for supplied Payment Type. Payment Type = 02.</t>
  </si>
  <si>
    <t>Account Open Date must be before Month End Date. If Date is &gt; Month End Date &amp; Status Code in (I, L, J or W) - Reject</t>
  </si>
  <si>
    <t>Account Open Date must be before Month End Date. Date is &lt;= 31 days after Month End Date.</t>
  </si>
  <si>
    <t>Deferred Payment Date  must be after Month End Date for supplied Payment Type. Payment Type = 02.</t>
  </si>
  <si>
    <t xml:space="preserve">If payment type = 02, Deferred Payment Date may not be 24+months after Month end Date. </t>
  </si>
  <si>
    <t>Last Payment Date  must be before Month End Date. Date is &lt;=31 days after Month End Date.</t>
  </si>
  <si>
    <t>Last Payment Date must be before Month End Date. Date supplied is a future date.</t>
  </si>
  <si>
    <t>Last Payment Date  must be before Month End Date for status code (W,I,J,L)</t>
  </si>
  <si>
    <t>Last Payment Date  must be before Month End Date. Date is &gt;31 days after Month End Date</t>
  </si>
  <si>
    <t>Opening Balance / Credit Limit - Must be &gt; 0 for supplied Account Type. Account Type in (B, D, H, I, M, N, P, T or Y). Status Code NULL OR in (A, D, E, I, J, K, L,U, W, Y, Z)</t>
  </si>
  <si>
    <t>Current Balance Indicator = C and status not  (C,P,T,V)</t>
  </si>
  <si>
    <t>Current Balance Must be &gt; 0 for supplied Account Type and Status Code. Account Type = V. Status Code in (I, L, J or W)</t>
  </si>
  <si>
    <t>Current Balance Must be &gt; 0 for Account Type = V. Payment Type = 09</t>
  </si>
  <si>
    <t>Current Balance Must be &gt; 0 for Account Type = V. Status Code = Y</t>
  </si>
  <si>
    <t>Current Balance Must be &gt; 0 for  Account Type (B, D, H, I, M, N, P, T or Y). Status Code is NULL</t>
  </si>
  <si>
    <t>Current Balance Must be &gt; 0 for  Account Type in (F, U, W). Status Code is NULL</t>
  </si>
  <si>
    <t>Current Balance Must be &gt; 0 for Status Code in (E, I, J, L, W or Y)</t>
  </si>
  <si>
    <t>If Current balance indicator = C, Overdue should = 0</t>
  </si>
  <si>
    <t>Months in Arrears Must be = 0 if current balance indicator = C</t>
  </si>
  <si>
    <t>Prescription 36-month Rule - Status Date or Last Payment Date must be populated; and must be within 36months of Header Record's Month End Date. MIA and Amount Overdue is &gt; 0. Account age is &gt;36months. Status Code not = Y</t>
  </si>
  <si>
    <t>Amount Overdue Must be &gt; 0 for  Account Type = V. Payment Type = 09</t>
  </si>
  <si>
    <t>Instalment Amount Must be &gt; 0 for Account Type in (B, D, H, I, M, N, P, T or Y) . Status Code is NULL</t>
  </si>
  <si>
    <t>Instalment Amount Must be &gt; 0  Current Balance Indicator = D. Current Balance &gt; 0. Account Type in (C, G, E, R or Z). Status Code is NULL, Y, U or E</t>
  </si>
  <si>
    <t>Instalment Amount Must be = 0  Payment Type = 00, 10. Account Type = V. Status Code = NULL</t>
  </si>
  <si>
    <t>Instalment Amount Must be &gt; 0  Payment Type = 09. Account Type = V</t>
  </si>
  <si>
    <t>Instalment Amount Must be &gt; 0  Account Type = V. Status Code in (I, L, J,W or Y)</t>
  </si>
  <si>
    <t>Amount Overdue - Must be &gt; 0 for supplied Months in Arrears. Months in Arrears &gt; 0. Status Code not in  (B, C, G, H, K, M, P, S, T, U or Z)</t>
  </si>
  <si>
    <t>Months in Arrears  Must be &gt; 0 for Payment Type = 09. Account Type = V</t>
  </si>
  <si>
    <t>Months in Arrears Must be = 0 Where Payment Type = 00, Account Type = V &amp; Status Code = NULL</t>
  </si>
  <si>
    <t>Months in Arrears Must be &gt; 0 WHERE Status Code in (I, L, J or W)</t>
  </si>
  <si>
    <t>Months in Arrears Must be = 0 WHERE Current Balance Indicator = C</t>
  </si>
  <si>
    <t>Months in Arrears Must be &gt; 0 Account Type = V. Status Code in (I, L, J or W)</t>
  </si>
  <si>
    <t>O</t>
  </si>
  <si>
    <t>F</t>
  </si>
  <si>
    <t>G</t>
  </si>
  <si>
    <t>K</t>
  </si>
  <si>
    <t>S</t>
  </si>
  <si>
    <t>Status Date is mandatory WHERE Status Code not in (B, C, D, P, T, U, V, Y or Z)</t>
  </si>
  <si>
    <t>Must be part of repayment frequency table</t>
  </si>
  <si>
    <t>Terms - Must be &gt; 0 for Account Type  (D, H, I, N, P, T or Y)</t>
  </si>
  <si>
    <t>Status Date is mandatory WHERE Status Code not in (B, C, D, P, S, T, U, V, Y or Z)</t>
  </si>
  <si>
    <t>Status Date must be before Month End Date. Date is &lt;= 31 days after Month End Date. Status Code is NULL or in (A, E, F, H, I, J, L, W, Y)</t>
  </si>
  <si>
    <t>Status date cannot be &gt; 12 months from MED for status (W,I,J or L)</t>
  </si>
  <si>
    <t>Status Date - Date must be before Month End Date. Date supplied cannot be after the MED.</t>
  </si>
  <si>
    <t>Status Date must be before  Month End Date WHERE Status Code in (I, L, J or W)</t>
  </si>
  <si>
    <t>Status must be before Month End Date. If Status date &gt; 31 day from MED for all status codes accept Y, reject</t>
  </si>
  <si>
    <t>Status Date is  mandatory WHERE Status Code in (I, L, J or W)</t>
  </si>
  <si>
    <t>Loan Reason Description</t>
  </si>
  <si>
    <t xml:space="preserve">Fixed installment – The total
amount of principal and interest is
constant on each installment; implies
that interest is computed on declining
balance (French method).
</t>
  </si>
  <si>
    <t>Straight line – When principal is
repaid in equal amounts while interest
may be computed on a flat or
declining balance basis (German
method).</t>
  </si>
  <si>
    <t>Single payment loan</t>
  </si>
  <si>
    <t>Irregular repayment schedule</t>
  </si>
  <si>
    <t>If the business phone number 
field contains &lt; 10 digits or &gt; 
10 digits, then flag the record.
 If the phone number field is 
not numeric then flag the 
record.</t>
  </si>
  <si>
    <t xml:space="preserve"> If the mobile phone 
number field contains &lt; 
10 digits or &gt; 10 digits, 
then flag the record.
 If the phone number field 
is not numeric then flag 
the record.</t>
  </si>
  <si>
    <t>Status Code Allowed</t>
  </si>
  <si>
    <t>Status Code not Allowed</t>
  </si>
  <si>
    <t>Account Types</t>
  </si>
  <si>
    <t>Status Codes</t>
  </si>
  <si>
    <t>These are not in use</t>
  </si>
  <si>
    <t>Prescribed</t>
  </si>
  <si>
    <t>Closed</t>
  </si>
  <si>
    <t>Lapsed Policy</t>
  </si>
  <si>
    <t>Canc by Policy Holder</t>
  </si>
  <si>
    <t>Canc by Supplier</t>
  </si>
  <si>
    <t>Repossessed</t>
  </si>
  <si>
    <t>Deceased Claim</t>
  </si>
  <si>
    <t>Paid Out Disability</t>
  </si>
  <si>
    <t>Pend Reg Removal</t>
  </si>
  <si>
    <t>Surrendered</t>
  </si>
  <si>
    <t>Suspended</t>
  </si>
  <si>
    <t>Early Settlement</t>
  </si>
  <si>
    <t>Paid Up Adverse Arrears</t>
  </si>
  <si>
    <t>Cooling Off</t>
  </si>
  <si>
    <t>Prescript Interrupt</t>
  </si>
  <si>
    <t>AB</t>
  </si>
  <si>
    <t>AC</t>
  </si>
  <si>
    <t>AD</t>
  </si>
  <si>
    <t>AE</t>
  </si>
  <si>
    <t>AF</t>
  </si>
  <si>
    <t>Services Rendered</t>
  </si>
  <si>
    <t>Garage / Petrol Card</t>
  </si>
  <si>
    <t>Home Loan</t>
  </si>
  <si>
    <t>Instalment</t>
  </si>
  <si>
    <t>One Month Loan</t>
  </si>
  <si>
    <t>Policy/Pension Backed Lending</t>
  </si>
  <si>
    <t>Open Facility Account</t>
  </si>
  <si>
    <t>Revolving Store Card</t>
  </si>
  <si>
    <t>Short Term Insurance</t>
  </si>
  <si>
    <t>Utilities</t>
  </si>
  <si>
    <t>Asset Rentals</t>
  </si>
  <si>
    <t>Property Rentals</t>
  </si>
  <si>
    <t>Vehicle and Asset Finance</t>
  </si>
  <si>
    <t>Revolving Non-Store Card</t>
  </si>
  <si>
    <t>Proposed Layout'!A1</t>
  </si>
  <si>
    <t xml:space="preserve">Payment Type </t>
  </si>
  <si>
    <t>Use if not listed below</t>
  </si>
  <si>
    <t>Payroll</t>
  </si>
  <si>
    <t>Deduction</t>
  </si>
  <si>
    <t>Payment made by Employer, deducted from consumer at point of payroll</t>
  </si>
  <si>
    <t>Where payment is deferred (payment holiday, buy now and pay later type agreements) or where repayment frequency is greater than monthly.</t>
  </si>
  <si>
    <t>Staff Account</t>
  </si>
  <si>
    <t>Accounts which are managed by a credit provider for staff  if consumer is responsible and payment is not made via payroll, If payment is made by Employer at Payroll, please use 01)</t>
  </si>
  <si>
    <t>Under</t>
  </si>
  <si>
    <t>Administration</t>
  </si>
  <si>
    <t>If an administration order has been confirmed</t>
  </si>
  <si>
    <t>If used, credible evidence must be held by the supplier</t>
  </si>
  <si>
    <t>Judgement Granted</t>
  </si>
  <si>
    <t>If judgment has been granted</t>
  </si>
  <si>
    <t>Debt restructured</t>
  </si>
  <si>
    <t>If used, credible evidence must be held by the supplier Should the credit provider decide to reinstate the account the payment type should be changed back to an appropriate type, one of the following types should be submitted “00, 01 or 03”.</t>
  </si>
  <si>
    <t>Voluntary Debt Consolidation</t>
  </si>
  <si>
    <t>To be used as an indicator that a consolidation loan has been issued.  All Consolidation products should be submitted as 07</t>
  </si>
  <si>
    <t>Debt rescheduled</t>
  </si>
  <si>
    <t xml:space="preserve">*Not presently in use* </t>
  </si>
  <si>
    <t>10</t>
  </si>
  <si>
    <t>07</t>
  </si>
  <si>
    <t>08</t>
  </si>
  <si>
    <t>09</t>
  </si>
  <si>
    <t>Forced Reduction</t>
  </si>
  <si>
    <t>Where a “Forced Reduction” has occurred due to the facility being overdrawn by an amount exceeding the monetary limit of R500 for a period of 30+ consecutive days.</t>
  </si>
  <si>
    <t>Where the facility has been overdrawn with an amount exceeding the monetary limit of R500 within the last 30 days.</t>
  </si>
  <si>
    <t>Notes on Botswana Status codes</t>
  </si>
  <si>
    <t>A change to  (Term) is also expected.</t>
  </si>
  <si>
    <t>If a change is made to the terms or structure of an existing agreement, this field should be populated with 06 and an E status code submitted, with the associated date, this status and status date must only be submitted once in the month of occurrence. The record may continue to be submitted with a payment type of 06 thereafter.</t>
  </si>
  <si>
    <t>•        The account was closed in error</t>
  </si>
  <si>
    <t>•        A payment has been returned after submission and the closure should be reversed</t>
  </si>
  <si>
    <t>•        An account for life which the consumer requested be closed, has been reactivated</t>
  </si>
  <si>
    <t>Ownership Type'!A1</t>
  </si>
  <si>
    <t>Repayment Frequency'!A1</t>
  </si>
  <si>
    <t>Loan Reason Code Botswana'!A1</t>
  </si>
  <si>
    <t>Status &amp; Acc Type'!A1</t>
  </si>
  <si>
    <t>Payment Type Table'!A1</t>
  </si>
  <si>
    <t>Validations Rules</t>
  </si>
  <si>
    <r>
      <t>Goods have been repossessed due to non-payment</t>
    </r>
    <r>
      <rPr>
        <b/>
        <sz val="9"/>
        <color rgb="FF000000"/>
        <rFont val="Aptos Narrow"/>
        <family val="2"/>
      </rPr>
      <t xml:space="preserve">  </t>
    </r>
  </si>
  <si>
    <t xml:space="preserve">Banks will need to develop for Overdraft as CRB do not cater for an Overdraft account type. </t>
  </si>
  <si>
    <t>Residential Address Line 3</t>
  </si>
  <si>
    <t>Residential Address Line 4</t>
  </si>
  <si>
    <t>Postal Address Line 3</t>
  </si>
  <si>
    <t>Postal Address Line 4</t>
  </si>
  <si>
    <t>Crisis loan - Loan granted to overcome client cash flow problems during unforeseen circumstances: Other Emergency</t>
  </si>
  <si>
    <t>New property acquisition or upgrades to existing property</t>
  </si>
  <si>
    <t>Financing of fixed or moveable asset other than property</t>
  </si>
  <si>
    <t>Loan to fund formal studies at a recognised institution</t>
  </si>
  <si>
    <t>A loan resulting from the Debt Consolidation</t>
  </si>
  <si>
    <t>A loan other than the ones stipulated above.</t>
  </si>
  <si>
    <t>A loan to a sole proprietor</t>
  </si>
  <si>
    <t>Proposed Code for Botswana</t>
  </si>
  <si>
    <t>Default to O in interim</t>
  </si>
  <si>
    <t>Overdraft in Excess</t>
  </si>
  <si>
    <t>Deferred Payment (Moratorium)</t>
  </si>
  <si>
    <t>Offsets</t>
  </si>
  <si>
    <t xml:space="preserve">Default to 00 </t>
  </si>
  <si>
    <t>Use for Moratorium with Deferred payment date</t>
  </si>
  <si>
    <t>used for Overdrafts</t>
  </si>
  <si>
    <t xml:space="preserve"> These needs review and alignment with CRB Layout… for data to be received. </t>
  </si>
  <si>
    <t>One Month Personal Loan</t>
  </si>
  <si>
    <t>For Microlending Space need to review this</t>
  </si>
  <si>
    <t>Student Loan</t>
  </si>
  <si>
    <t>Bullet Facility</t>
  </si>
  <si>
    <t>Line of Credit</t>
  </si>
  <si>
    <t>Account Type</t>
  </si>
  <si>
    <t>Comments:</t>
  </si>
  <si>
    <t>I = Installment account representing transactions opening balance will be equal to the original purchase price  the current balance will reflect monies still due  the overdue balance will reflect the value of the cumulative missed instilments and the installment amount will be displayed as per the Credit Agreement. The installment amount cannot be greater than the current balance.</t>
  </si>
  <si>
    <t xml:space="preserve">Map to I acc type in L702 </t>
  </si>
  <si>
    <t xml:space="preserve"> Revolving credit account where purchases  and payments are made within a given credit facility</t>
  </si>
  <si>
    <t>Map to R acc type in L702</t>
  </si>
  <si>
    <t>Open account without credit limit but where total credit limit but where total owing  as reflected on monthly statement   is due and payable on a date as advised on the statement.</t>
  </si>
  <si>
    <t>Map to  O acc type in L702</t>
  </si>
  <si>
    <t>Credit Card Account</t>
  </si>
  <si>
    <t>Map to C acc type in L702</t>
  </si>
  <si>
    <t>Home Loans / Mortgage</t>
  </si>
  <si>
    <t>Map to H acc type in L702</t>
  </si>
  <si>
    <t xml:space="preserve">Single Credit Facility </t>
  </si>
  <si>
    <t>Map to E acc type in L702</t>
  </si>
  <si>
    <t>Map to P acc type in L702</t>
  </si>
  <si>
    <t>Moratorium where payments start after a grace period that was given to them lapses.</t>
  </si>
  <si>
    <t>Not Available</t>
  </si>
  <si>
    <t>Pension backed lending</t>
  </si>
  <si>
    <t>Map to T acc type in L702</t>
  </si>
  <si>
    <t>Debt Recovery =  Debt recovery account, 
i.e. an account held by debt 
collection company</t>
  </si>
  <si>
    <t xml:space="preserve">Map to C account type. </t>
  </si>
  <si>
    <t xml:space="preserve">This has been algined in the Account type Worksheet. </t>
  </si>
  <si>
    <t>A - converted to 0 MIA
C - Closed
D - Disputed
I - Revoked
R mapped to J - Repossessed
L - Handed over
N - non performing - map to the months in arrears 
B - mapped to P status code
T - Early settlement
W - write off
X - map to C status code
O - refers to Overdraft. Overdraft has to  be an account type
U - unpaid credit card - not in use. it can be ignored
J -  no longer in use in Botswana. We can ignore the status code.</t>
  </si>
  <si>
    <t>Botswana ID is 9 numeric characters                                                            
is_valid_omang :=
    is_string_numeric(omang)
AND string_length(omang) = 9
AND substring(omang,5,1) IN ('1','2')
AND omang NOT IN
    ('000000000','111111111','222222222','333333333');</t>
  </si>
  <si>
    <t>Field length</t>
  </si>
  <si>
    <t>IF NOT (Data record must be = D for monthly update) THEN flag_error();</t>
  </si>
  <si>
    <t>IF NOT (Botswana ID is 9 numeric characters                                                            
is_valid_omang :=
    is_string_numeric(omang)
AND string_length(omang) = 9
AND substring(omang,5,1) IN ('1','2')
AND omang NOT IN
    ('000000000','111111111','222222222','333333333');) THEN flag_error();</t>
  </si>
  <si>
    <t>IF NOT (Gender to be supplied as M  = Male  or F = Female) THEN flag_error();</t>
  </si>
  <si>
    <t>IF NOT (Must be valid DOB and YYYYMMDD Cannont be in future) THEN flag_error();</t>
  </si>
  <si>
    <t>IF NOT (Account Number is mandatory.  ) THEN flag_error();</t>
  </si>
  <si>
    <t>IF NOT (Surname Validation - Surname is &gt;2 characters. Does not contain at least one vowel (A, E, I, O, U or Y)) THEN flag_error();</t>
  </si>
  <si>
    <t>IF NOT (Surname - Contains invalid characters. Allowed characters: [A-Z], [-], ['], [ ]) THEN flag_error();</t>
  </si>
  <si>
    <t>IF NOT (Surname - Mandatory field not populated) THEN flag_error();</t>
  </si>
  <si>
    <t>IF NOT (Forename Validation - No valid Forename provided. Forename1and Forename2 and Forename3 is NULL or Invalid) THEN flag_error();</t>
  </si>
  <si>
    <t>IF NOT (Owenrship type is mandatory. Refer to table for allowed types) THEN flag_error();</t>
  </si>
  <si>
    <t>IF NOT (Default to 00 ) THEN flag_error();</t>
  </si>
  <si>
    <t>IF NOT (If Loan Reason Code not = 00 for Botswana data supplier, default to 00 or if loan reason code not supplied, default to 00 and accept record) THEN flag_error();</t>
  </si>
  <si>
    <t>IF NOT (Type of Accounts Differ from other countries. We need to align. Overdraft is not an account type but a status. Need clarity from CRB on why this is the case.) THEN flag_error();</t>
  </si>
  <si>
    <t>IF NOT (Account Open Date - Mandatory field not populated) THEN flag_error();</t>
  </si>
  <si>
    <t>IF NOT (Account Open Date - Contains invalid characters. Allowed characters: YYYYMMDD) THEN flag_error();</t>
  </si>
  <si>
    <t>IF NOT (Account Open Date - Date must be before Month End Date. Date is &gt;31 days after Month End Date) THEN flag_error();</t>
  </si>
  <si>
    <t>IF NOT (Account Open Date - Date must be before Month End Date. Date is &gt;31 days after Month End Date. Account Type = V) THEN flag_error();</t>
  </si>
  <si>
    <t>IF NOT (Account Open Date - Date must be before Month End Date. Date supplied is a future date. Date is after TODAY()) THEN flag_error();</t>
  </si>
  <si>
    <t>IF NOT (Account Open Date must be before Month End Date. If Date is &gt; Month End Date &amp; Status Code in (I, L, J or W) - Reject) THEN flag_error();</t>
  </si>
  <si>
    <t>IF NOT (Account Open Date must be before Month End Date. Date is &lt;= 31 days after Month End Date.) THEN flag_error();</t>
  </si>
  <si>
    <t>IF NOT (Deferred Payment Date - Date is mandatory for supplied Payment Type. Payment Type = 02.) THEN flag_error();</t>
  </si>
  <si>
    <t>IF NOT (Deferred Payment Date  must be after Month End Date for supplied Payment Type. Payment Type = 02.) THEN flag_error();</t>
  </si>
  <si>
    <t>IF NOT (If payment type = 02, Deferred Payment Date may not be 24+months after Month end Date. ) THEN flag_error();</t>
  </si>
  <si>
    <t>IF NOT (Last Payment Date  must be before Month End Date. Date is &lt;=31 days after Month End Date.) THEN flag_error();</t>
  </si>
  <si>
    <t>IF NOT (Last Payment Date must be before Month End Date. Date supplied is a future date.) THEN flag_error();</t>
  </si>
  <si>
    <t>IF NOT (Last Payment Date  must be before Month End Date for status code (W,I,J,L)) THEN flag_error();</t>
  </si>
  <si>
    <t>IF NOT (Last Payment Date  must be before Month End Date. Date is &gt;31 days after Month End Date) THEN flag_error();</t>
  </si>
  <si>
    <t>IF NOT (Opening balance = disbursed loan amount.  ) THEN flag_error();</t>
  </si>
  <si>
    <t>IF NOT (Opening Balance / Credit Limit - Must be &gt; 0 for supplied Account Type. Account Type in (B, D, H, I, M, N, P, T or Y). Status Code NULL OR in (A, D, E, I, J, K, L,U, W, Y, Z)) THEN flag_error();</t>
  </si>
  <si>
    <t>IF NOT (Opening Balance / Credit Limit - Must be = 0 for supplied Account Type. Account Type in (F, O, S, U, W, X)) THEN flag_error();</t>
  </si>
  <si>
    <t>IF NOT (Opening Balance / Credit Limit - Must be &gt; 0 for supplied Account Type, Payment Type and Status Code. Payment Type = 00, 10. Account Type = V. Status Code = NULL) THEN flag_error();</t>
  </si>
  <si>
    <t>IF NOT (Opening Balance / Credit Limit - Must be &gt; 0 for supplied Account Type and Payment Type. Account Type = V. Payment Type = 09) THEN flag_error();</t>
  </si>
  <si>
    <t>IF NOT (Current Balance Indicator = C and status not  (C,P,T,V)) THEN flag_error();</t>
  </si>
  <si>
    <t>IF NOT (Current Balance Must be &gt; 0 for supplied Account Type and Status Code. Account Type = V. Status Code in (I, L, J or W)) THEN flag_error();</t>
  </si>
  <si>
    <t>IF NOT (Current Balance Must be &gt; 0 for Account Type = V. Payment Type = 09) THEN flag_error();</t>
  </si>
  <si>
    <t>IF NOT (Current Balance Must be &gt; 0 for Account Type = V. Status Code = Y) THEN flag_error();</t>
  </si>
  <si>
    <t>IF NOT (Current Balance Must be &gt; 0 for  Account Type (B, D, H, I, M, N, P, T or Y). Status Code is NULL) THEN flag_error();</t>
  </si>
  <si>
    <t>IF NOT (Current Balance Must be &gt; 0 for  Account Type in (F, U, W). Status Code is NULL) THEN flag_error();</t>
  </si>
  <si>
    <t>IF NOT (Current Balance Must be &gt; 0 for Status Code in (E, I, J, L, W or Y)) THEN flag_error();</t>
  </si>
  <si>
    <t>IF NOT (Current Balance - Must be &gt; R100 for supplied Status Code. Status Code in (I, L, J or W)) THEN flag_error();</t>
  </si>
  <si>
    <t>IF NOT (If Current balance indicator = C, Overdue should = 0) THEN flag_error();</t>
  </si>
  <si>
    <t>IF NOT (Months in Arrears Must be = 0 if current balance indicator = C) THEN flag_error();</t>
  </si>
  <si>
    <t>IF NOT (Prescription 36-month Rule - Status Date or Last Payment Date must be populated; and must be within 36months of Header Record's Month End Date. MIA and Amount Overdue is &gt; 0. Account age is &gt;36months. Status Code not = Y) THEN flag_error();</t>
  </si>
  <si>
    <t>IF NOT (Amount Overdue Must be &gt; 0 for  Account Type = V. Payment Type = 09) THEN flag_error();</t>
  </si>
  <si>
    <t>IF NOT (Amount Overdue - Must be &gt; 0 for supplied Months in Arrears. Months in Arrears &gt; 0. Status Code not in  (B, C, G, H, K, M, P, S, T, X or Z)) THEN flag_error();</t>
  </si>
  <si>
    <t>IF NOT (Amount Overdue - Must be &gt; 0 for supplied Status Code. Status Code in (I, L, J or W)) THEN flag_error();</t>
  </si>
  <si>
    <t>IF NOT (Amount Overdue - Must be &gt; R100 for supplied Status Code. Status Code in (I, L, J or W)) THEN flag_error();</t>
  </si>
  <si>
    <t>IF NOT (Instalment Amount Must be &gt; 0 for Account Type in (B, D, H, I, M, N, P, T or Y) . Status Code is NULL) THEN flag_error();</t>
  </si>
  <si>
    <t>IF NOT (Instalment Amount - Must be &gt; 0 for supplied Status Code. Status Code in (E, I, J, L, W or Y)) THEN flag_error();</t>
  </si>
  <si>
    <t>IF NOT (Instalment Amount Must be &gt; 0  Current Balance Indicator = D. Current Balance &gt; 0. Account Type in (C, G, E, R or Z). Status Code is NULL, Y, U or E) THEN flag_error();</t>
  </si>
  <si>
    <t>IF NOT (Instalment Amount Must be = 0  Payment Type = 00, 10. Account Type = V. Status Code = NULL) THEN flag_error();</t>
  </si>
  <si>
    <t>IF NOT (Instalment Amount Must be &gt; 0  Payment Type = 09. Account Type = V) THEN flag_error();</t>
  </si>
  <si>
    <t>IF NOT (Instalment Amount Must be &gt; 0  Account Type = V. Status Code in (I, L, J,W or Y)) THEN flag_error();</t>
  </si>
  <si>
    <t>IF NOT (Amount Overdue - Must be &gt; 0 for supplied Months in Arrears. Months in Arrears &gt; 0. Status Code not in  (B, C, G, H, K, M, P, S, T, U or Z)) THEN flag_error();</t>
  </si>
  <si>
    <t>IF NOT (Months in Arrears  Must be &gt; 0 for Payment Type = 09. Account Type = V) THEN flag_error();</t>
  </si>
  <si>
    <t>IF NOT (Months in Arrears Must be = 0 Where Payment Type = 00, Account Type = V &amp; Status Code = NULL) THEN flag_error();</t>
  </si>
  <si>
    <t>IF NOT (Months in Arrears Must be &gt; 0 WHERE Status Code in (I, L, J or W)) THEN flag_error();</t>
  </si>
  <si>
    <t>IF NOT (Months in Arrears Must be = 0 WHERE Current Balance Indicator = C) THEN flag_error();</t>
  </si>
  <si>
    <t>IF NOT (Months in Arrears Must be &gt; 0 Account Type = V. Status Code in (I, L, J or W)) THEN flag_error();</t>
  </si>
  <si>
    <t>IF NOT (Invalid Status Code for Account Type - Status Code  = P. Account Type not in (B, C, E, F, G, H, O, R, U, V, W or Z)) THEN flag_error();</t>
  </si>
  <si>
    <t>IF NOT (Invalid Status Code for Account Type - Status Code = I. Account Type not in (B, C, E, G, O, R or Z)) THEN flag_error();</t>
  </si>
  <si>
    <t>IF NOT (Invalid Status Code for Account Type - Status Code = J. Account Type not in (B, E, H, I, N or Y)) THEN flag_error();</t>
  </si>
  <si>
    <t>IF NOT (Invalid Status Code for Account Type - Status Code = L. Account Type in (S, L)) THEN flag_error();</t>
  </si>
  <si>
    <t>IF NOT (Invalid Status Code for Account Type - Status Code = T. Account Type not in (B, D, E, H, I, M, N, T or Y)) THEN flag_error();</t>
  </si>
  <si>
    <t>IF NOT (Invalid Status Code for Account Type - Status Code not in (B, C, D, I, L, W, Y, U, P or Z). Account Type = V) THEN flag_error();</t>
  </si>
  <si>
    <t>IF NOT (Status Date is mandatory WHERE Status Code not in (B, C, D, P, T, U, V, Y or Z)) THEN flag_error();</t>
  </si>
  <si>
    <t>IF NOT (Must be part of repayment frequency table) THEN flag_error();</t>
  </si>
  <si>
    <t>IF NOT (Terms - Must be &gt; 0 for Account Type  (D, H, I, N, P, T or Y)) THEN flag_error();</t>
  </si>
  <si>
    <t>IF NOT (Status Date is mandatory WHERE Status Code not in (B, C, D, P, S, T, U, V, Y or Z)) THEN flag_error();</t>
  </si>
  <si>
    <t>IF NOT (Status Date must be before Month End Date. Date is &lt;= 31 days after Month End Date. Status Code is NULL or in (A, E, F, H, I, J, L, W, Y)) THEN flag_error();</t>
  </si>
  <si>
    <t>IF NOT (Status date cannot be &gt; 12 months from MED for status (W,I,J or L)) THEN flag_error();</t>
  </si>
  <si>
    <t>IF NOT (Status Date - Date must be before Month End Date. Date supplied cannot be after the MED.) THEN flag_error();</t>
  </si>
  <si>
    <t>IF NOT (Status Date must be before  Month End Date WHERE Status Code in (I, L, J or W)) THEN flag_error();</t>
  </si>
  <si>
    <t>IF NOT (Status must be before Month End Date. If Status date &gt; 31 day from MED for all status codes accept Y, reject) THEN flag_error();</t>
  </si>
  <si>
    <t>IF NOT (Status Date is  mandatory WHERE Status Code in (I, L, J or W)) THEN flag_error();</t>
  </si>
  <si>
    <t>IF NOT (If the business phone number 
field contains &lt; 10 digits or &gt; 
10 digits, then flag the record.
 If the phone number field is 
not numeric then flag the 
record.) THEN flag_error();</t>
  </si>
  <si>
    <t>IF NOT ( If the mobile phone 
number field contains &lt; 
10 digits or &gt; 10 digits, 
then flag the record.
 If the phone number field 
is not numeric then flag 
the record.) THEN flag_error();</t>
  </si>
  <si>
    <t>IF NOT (Should be popualted with weekly, monthly, forthnight, quarterly, annually) THEN flag_error();</t>
  </si>
  <si>
    <t>IF NOT (Third Party Name - Is mandatory for supplied Status Code. Status Code = A) THEN flag_error();</t>
  </si>
  <si>
    <t>IF NOT (Account Sold to 3rd Party - Must = 01 for supplied Status Code. Status Code = A) THEN flag_error();</t>
  </si>
  <si>
    <t>IF NOT (Account Sold to 3rd Party - Must = 01 for supplied Status Code. Account Type = V. Status Code = A) THEN flag_error();</t>
  </si>
  <si>
    <t>IF NOT (No of Participants in Join Loan - Must be &gt; 0 for supplied Ownership Type. Ownership Type = 02) THEN flag_error();</t>
  </si>
  <si>
    <t>Generic Psdudo Code</t>
  </si>
  <si>
    <t>See below Status code currently applicable</t>
  </si>
  <si>
    <r>
      <t xml:space="preserve">Status Codes allowed on </t>
    </r>
    <r>
      <rPr>
        <b/>
        <sz val="10"/>
        <rFont val="Aptos Narrow"/>
        <family val="2"/>
      </rPr>
      <t>monthly</t>
    </r>
    <r>
      <rPr>
        <sz val="10"/>
        <rFont val="Aptos Narrow"/>
        <family val="2"/>
      </rPr>
      <t>:</t>
    </r>
  </si>
  <si>
    <r>
      <t xml:space="preserve">Status Codes allowed on </t>
    </r>
    <r>
      <rPr>
        <b/>
        <sz val="10"/>
        <rFont val="Aptos Narrow"/>
        <family val="2"/>
      </rPr>
      <t>daily</t>
    </r>
    <r>
      <rPr>
        <sz val="10"/>
        <rFont val="Aptos Narrow"/>
        <family val="2"/>
      </rPr>
      <t>:</t>
    </r>
  </si>
  <si>
    <r>
      <t>Requires the Submission of both daily files for registrations and closures as well as monthly files</t>
    </r>
    <r>
      <rPr>
        <b/>
        <sz val="10"/>
        <rFont val="Aptos Narrow"/>
        <family val="2"/>
      </rPr>
      <t xml:space="preserve">  </t>
    </r>
  </si>
  <si>
    <r>
      <t xml:space="preserve">Requires the Submission of </t>
    </r>
    <r>
      <rPr>
        <b/>
        <sz val="10"/>
        <rFont val="Aptos Narrow"/>
        <family val="2"/>
      </rPr>
      <t>daily</t>
    </r>
    <r>
      <rPr>
        <sz val="10"/>
        <rFont val="Aptos Narrow"/>
        <family val="2"/>
      </rPr>
      <t xml:space="preserve"> </t>
    </r>
    <r>
      <rPr>
        <b/>
        <sz val="10"/>
        <rFont val="Aptos Narrow"/>
        <family val="2"/>
      </rPr>
      <t>closures only</t>
    </r>
    <r>
      <rPr>
        <sz val="10"/>
        <rFont val="Aptos Narrow"/>
        <family val="2"/>
      </rPr>
      <t xml:space="preserve"> as well as </t>
    </r>
    <r>
      <rPr>
        <b/>
        <sz val="10"/>
        <rFont val="Aptos Narrow"/>
        <family val="2"/>
      </rPr>
      <t>monthly</t>
    </r>
    <r>
      <rPr>
        <sz val="10"/>
        <rFont val="Aptos Narrow"/>
        <family val="2"/>
      </rPr>
      <t xml:space="preserve"> files</t>
    </r>
  </si>
  <si>
    <r>
      <t xml:space="preserve">Open Credit Facility where the account is truly limitless in terms of available credit </t>
    </r>
    <r>
      <rPr>
        <b/>
        <sz val="10"/>
        <rFont val="Aptos Narrow"/>
        <family val="2"/>
      </rPr>
      <t>AND</t>
    </r>
    <r>
      <rPr>
        <sz val="10"/>
        <rFont val="Aptos Narrow"/>
        <family val="2"/>
      </rPr>
      <t xml:space="preserve"> where repayment in full is expected at the end of each agreed period.   Requires the Submission of both daily files for registrations and closures as well as monthly files</t>
    </r>
    <r>
      <rPr>
        <b/>
        <sz val="10"/>
        <rFont val="Aptos Narrow"/>
        <family val="2"/>
      </rPr>
      <t xml:space="preserve">  </t>
    </r>
  </si>
  <si>
    <r>
      <t>A Store Card where a limit is available to the consumer and an instalment is required monthly. This value may be accessed as required up to the agreed limit Requires the Submission of both daily files for registrations and closures as well as monthly files</t>
    </r>
    <r>
      <rPr>
        <b/>
        <sz val="10"/>
        <rFont val="Aptos Narrow"/>
        <family val="2"/>
      </rPr>
      <t xml:space="preserve">  </t>
    </r>
  </si>
  <si>
    <r>
      <t xml:space="preserve">Requires the Submission </t>
    </r>
    <r>
      <rPr>
        <b/>
        <sz val="10"/>
        <rFont val="Aptos Narrow"/>
        <family val="2"/>
      </rPr>
      <t>monthly</t>
    </r>
    <r>
      <rPr>
        <sz val="10"/>
        <rFont val="Aptos Narrow"/>
        <family val="2"/>
      </rPr>
      <t xml:space="preserve"> files</t>
    </r>
    <r>
      <rPr>
        <b/>
        <sz val="10"/>
        <rFont val="Aptos Narrow"/>
        <family val="2"/>
      </rPr>
      <t xml:space="preserve"> </t>
    </r>
    <r>
      <rPr>
        <sz val="10"/>
        <rFont val="Aptos Narrow"/>
        <family val="2"/>
      </rPr>
      <t>only</t>
    </r>
    <r>
      <rPr>
        <b/>
        <sz val="10"/>
        <rFont val="Aptos Narrow"/>
        <family val="2"/>
      </rPr>
      <t xml:space="preserve"> </t>
    </r>
  </si>
  <si>
    <t>Live File</t>
  </si>
  <si>
    <t>Test File</t>
  </si>
  <si>
    <t>L denotes Live</t>
  </si>
  <si>
    <t>T denotes Test</t>
  </si>
  <si>
    <t>§     BW0001_ALL_L702_M_20260331_1_1.txt</t>
  </si>
  <si>
    <t>§     BW0001_ALL_T702_M_20260331_1_1.txt</t>
  </si>
  <si>
    <t>Date should be the Month end date of the file</t>
  </si>
  <si>
    <t>L702 &amp; T702</t>
  </si>
  <si>
    <t>L or T</t>
  </si>
  <si>
    <t>Example: File Naming Convention</t>
  </si>
  <si>
    <t>Sequence 1</t>
  </si>
  <si>
    <t>Sequence 2</t>
  </si>
  <si>
    <t>Will change if a resubmission for the same month end by an increment of 1</t>
  </si>
  <si>
    <t>File Naming Conventions'!A1</t>
  </si>
  <si>
    <t>Rules applicable to one month loan.  These follow same logic as Personal term loans</t>
  </si>
  <si>
    <t>Provisioned for daily files when agreed</t>
  </si>
  <si>
    <t>Comment</t>
  </si>
  <si>
    <r>
      <t>Mandatory</t>
    </r>
    <r>
      <rPr>
        <sz val="9"/>
        <color rgb="FF000000"/>
        <rFont val="Aptos"/>
        <family val="2"/>
      </rPr>
      <t xml:space="preserve"> if deferred payment date is populated</t>
    </r>
  </si>
  <si>
    <t>General Notes:</t>
  </si>
  <si>
    <r>
      <t>·</t>
    </r>
    <r>
      <rPr>
        <sz val="7"/>
        <color theme="1"/>
        <rFont val="Aptos"/>
        <family val="2"/>
      </rPr>
      <t xml:space="preserve">       </t>
    </r>
    <r>
      <rPr>
        <sz val="10"/>
        <color theme="1"/>
        <rFont val="Aptos"/>
        <family val="2"/>
      </rPr>
      <t xml:space="preserve">Data is to be submitted by all suppliers monthly to each credit bureaus in an </t>
    </r>
    <r>
      <rPr>
        <b/>
        <sz val="10"/>
        <color theme="1"/>
        <rFont val="Aptos"/>
        <family val="2"/>
      </rPr>
      <t>electronic fixed length text file.</t>
    </r>
  </si>
  <si>
    <r>
      <t>·</t>
    </r>
    <r>
      <rPr>
        <sz val="7"/>
        <color theme="1"/>
        <rFont val="Aptos"/>
        <family val="2"/>
      </rPr>
      <t xml:space="preserve">       </t>
    </r>
    <r>
      <rPr>
        <b/>
        <sz val="10"/>
        <color theme="1"/>
        <rFont val="Aptos"/>
        <family val="2"/>
      </rPr>
      <t>(ASCII)</t>
    </r>
    <r>
      <rPr>
        <sz val="10"/>
        <color theme="1"/>
        <rFont val="Aptos"/>
        <family val="2"/>
      </rPr>
      <t xml:space="preserve">, files must </t>
    </r>
    <r>
      <rPr>
        <b/>
        <sz val="10"/>
        <color theme="1"/>
        <rFont val="Aptos"/>
        <family val="2"/>
      </rPr>
      <t>contain an “end of line marker” followed by a “carriage return line feed.</t>
    </r>
    <r>
      <rPr>
        <sz val="10"/>
        <color theme="1"/>
        <rFont val="Aptos"/>
        <family val="2"/>
      </rPr>
      <t>”</t>
    </r>
  </si>
  <si>
    <r>
      <t>·</t>
    </r>
    <r>
      <rPr>
        <sz val="7"/>
        <color theme="1"/>
        <rFont val="Aptos"/>
        <family val="2"/>
      </rPr>
      <t xml:space="preserve">       </t>
    </r>
    <r>
      <rPr>
        <b/>
        <sz val="10"/>
        <color theme="1"/>
        <rFont val="Aptos"/>
        <family val="2"/>
      </rPr>
      <t xml:space="preserve">Alpha </t>
    </r>
    <r>
      <rPr>
        <sz val="10"/>
        <color theme="1"/>
        <rFont val="Aptos"/>
        <family val="2"/>
      </rPr>
      <t xml:space="preserve">fields must be </t>
    </r>
    <r>
      <rPr>
        <b/>
        <sz val="10"/>
        <color theme="1"/>
        <rFont val="Aptos"/>
        <family val="2"/>
      </rPr>
      <t xml:space="preserve">left </t>
    </r>
    <r>
      <rPr>
        <sz val="10"/>
        <color theme="1"/>
        <rFont val="Aptos"/>
        <family val="2"/>
      </rPr>
      <t xml:space="preserve">aligned </t>
    </r>
    <r>
      <rPr>
        <b/>
        <sz val="10"/>
        <color theme="1"/>
        <rFont val="Aptos"/>
        <family val="2"/>
      </rPr>
      <t>unless stipulated otherwise</t>
    </r>
    <r>
      <rPr>
        <sz val="10"/>
        <color theme="1"/>
        <rFont val="Aptos"/>
        <family val="2"/>
      </rPr>
      <t>, and if no input data is available must be space filled / Blank.</t>
    </r>
  </si>
  <si>
    <r>
      <t>·</t>
    </r>
    <r>
      <rPr>
        <sz val="7"/>
        <color theme="1"/>
        <rFont val="Aptos"/>
        <family val="2"/>
      </rPr>
      <t xml:space="preserve">       </t>
    </r>
    <r>
      <rPr>
        <b/>
        <sz val="10"/>
        <color theme="1"/>
        <rFont val="Aptos"/>
        <family val="2"/>
      </rPr>
      <t xml:space="preserve">Numeric </t>
    </r>
    <r>
      <rPr>
        <sz val="10"/>
        <color theme="1"/>
        <rFont val="Aptos"/>
        <family val="2"/>
      </rPr>
      <t xml:space="preserve">fields must be </t>
    </r>
    <r>
      <rPr>
        <b/>
        <sz val="10"/>
        <color theme="1"/>
        <rFont val="Aptos"/>
        <family val="2"/>
      </rPr>
      <t xml:space="preserve">right </t>
    </r>
    <r>
      <rPr>
        <sz val="10"/>
        <color theme="1"/>
        <rFont val="Aptos"/>
        <family val="2"/>
      </rPr>
      <t xml:space="preserve">aligned </t>
    </r>
    <r>
      <rPr>
        <b/>
        <sz val="10"/>
        <color theme="1"/>
        <rFont val="Aptos"/>
        <family val="2"/>
      </rPr>
      <t>unless stipulated otherwise</t>
    </r>
    <r>
      <rPr>
        <sz val="10"/>
        <color theme="1"/>
        <rFont val="Aptos"/>
        <family val="2"/>
      </rPr>
      <t>, and if no input data is available must be.</t>
    </r>
  </si>
  <si>
    <r>
      <t>·</t>
    </r>
    <r>
      <rPr>
        <sz val="7"/>
        <color theme="1"/>
        <rFont val="Aptos"/>
        <family val="2"/>
      </rPr>
      <t xml:space="preserve">       </t>
    </r>
    <r>
      <rPr>
        <sz val="10"/>
        <color theme="1"/>
        <rFont val="Aptos"/>
        <family val="2"/>
      </rPr>
      <t>zero filled</t>
    </r>
  </si>
  <si>
    <r>
      <t>·</t>
    </r>
    <r>
      <rPr>
        <sz val="7"/>
        <color theme="1"/>
        <rFont val="Aptos"/>
        <family val="2"/>
      </rPr>
      <t xml:space="preserve">       </t>
    </r>
    <r>
      <rPr>
        <sz val="10"/>
        <color theme="1"/>
        <rFont val="Aptos"/>
        <family val="2"/>
      </rPr>
      <t xml:space="preserve">Data submissions </t>
    </r>
    <r>
      <rPr>
        <b/>
        <sz val="10"/>
        <color theme="1"/>
        <rFont val="Aptos"/>
        <family val="2"/>
      </rPr>
      <t xml:space="preserve">should not be submitted directly to the REGULATOR or its staff </t>
    </r>
    <r>
      <rPr>
        <sz val="10"/>
        <color theme="1"/>
        <rFont val="Aptos"/>
        <family val="2"/>
      </rPr>
      <t>but to the Credit Bureaus.</t>
    </r>
  </si>
  <si>
    <r>
      <t>·</t>
    </r>
    <r>
      <rPr>
        <sz val="7"/>
        <color theme="1"/>
        <rFont val="Aptos"/>
        <family val="2"/>
      </rPr>
      <t xml:space="preserve">       </t>
    </r>
    <r>
      <rPr>
        <sz val="10"/>
        <color theme="1"/>
        <rFont val="Aptos"/>
        <family val="2"/>
      </rPr>
      <t>All date fields are to be populated as CCYYMMDD or zero filled when not in use.</t>
    </r>
  </si>
  <si>
    <r>
      <t>·</t>
    </r>
    <r>
      <rPr>
        <sz val="7"/>
        <color theme="1"/>
        <rFont val="Aptos"/>
        <family val="2"/>
      </rPr>
      <t xml:space="preserve">       </t>
    </r>
    <r>
      <rPr>
        <sz val="10"/>
        <color theme="1"/>
        <rFont val="Aptos"/>
        <family val="2"/>
      </rPr>
      <t>Data Submissions must be made through Secure File Transfer Mechanisms</t>
    </r>
  </si>
  <si>
    <t>Business Rules</t>
  </si>
  <si>
    <t>Numeric field must be right aligned.
Decimals are not permitted, submit as Whole Pula Only
The credit limit may not change unless the limit is adjusted.
The credit limit may be set to 0 in instances where the limit has been revoked or the consumer has requested that the account be closed upon repayment in full. If revoked then a status code I is expected.
Opening Balance/Credit limit should never be set to zero if a status other than I is submitted. The Opening Balance may not change unless an additional amount is granted to the consumer on the same account number and the agreement and new loan amount are changed. In this instance it will be expected that an E status code is submitted and the Opening Balance, Current Balance, Instalment and terms must be updated to reflect the new balances.</t>
  </si>
  <si>
    <t>Format and length is N9
Numeric field must be right aligned.
Decimals are not permitted, submit as Whole Pula Only
Where current balance is greater than 0 an instalment is mandatory.
If Current Balance is in Credit then months in arrears must be 00</t>
  </si>
  <si>
    <t xml:space="preserve">Numeric field must be right aligned.
Decimals are not permitted, submit as Whole Pula Only
For Monthly files
Overdue Balance may be populated with 00 months in arrears Populate with the balance of cumulative missed payments
If months in arrears field is greater than 0 then amount overdue is mandatory
If a status codes of W,I,J or L are submitted then amount overdue and months in arrears is mandatory
If Status code of W or J is supplied then Amount Overdue must reflect the write off / repossession value in order to create and accurate public domain record.
Amount overdue must be set to zero if one of the following status codes is supplied: C, P, T, and V.
</t>
  </si>
  <si>
    <t>Numeric field must be right aligned.
Instalment is mandatory for this account type if current balance is greater than 0
If the account is paid in advance, the instalment which is generated and deducted from the credit current balance should be populated; a zero instalment will not be accepted under these circumstances.
Decimals are not permitted, submit as Whole Pula Only
 Instalment must be set to zero if one of the following status codes is supplied: C, P, V, and T.</t>
  </si>
  <si>
    <t xml:space="preserve">Trading Name </t>
  </si>
  <si>
    <t>Short Term Insurance - premiums only</t>
  </si>
  <si>
    <t>Requires the Submission of monthly file</t>
  </si>
  <si>
    <t>Refers to Credit Amortization type in CRB layout</t>
  </si>
  <si>
    <t xml:space="preserve">PERIOD </t>
  </si>
  <si>
    <t xml:space="preserve">Monthly </t>
  </si>
  <si>
    <t xml:space="preserve">W </t>
  </si>
  <si>
    <t xml:space="preserve">Weekly </t>
  </si>
  <si>
    <t xml:space="preserve">Fortnight </t>
  </si>
  <si>
    <t xml:space="preserve">Q </t>
  </si>
  <si>
    <t xml:space="preserve">Quarterly </t>
  </si>
  <si>
    <t xml:space="preserve">A </t>
  </si>
  <si>
    <t xml:space="preserve">Annual </t>
  </si>
  <si>
    <t xml:space="preserve">TITLE </t>
  </si>
  <si>
    <t xml:space="preserve">ADV </t>
  </si>
  <si>
    <t xml:space="preserve">Advocate </t>
  </si>
  <si>
    <t xml:space="preserve">CAPT </t>
  </si>
  <si>
    <t xml:space="preserve">Captain </t>
  </si>
  <si>
    <t xml:space="preserve">COL </t>
  </si>
  <si>
    <t xml:space="preserve">Colonel </t>
  </si>
  <si>
    <t xml:space="preserve">DR </t>
  </si>
  <si>
    <t xml:space="preserve">Doctor </t>
  </si>
  <si>
    <t xml:space="preserve">DS </t>
  </si>
  <si>
    <t xml:space="preserve">Dominee </t>
  </si>
  <si>
    <t xml:space="preserve">JUDGE </t>
  </si>
  <si>
    <t xml:space="preserve">Judge </t>
  </si>
  <si>
    <t xml:space="preserve">KAPT </t>
  </si>
  <si>
    <t xml:space="preserve">Kaptein </t>
  </si>
  <si>
    <t xml:space="preserve">KOL </t>
  </si>
  <si>
    <t xml:space="preserve">Kolonel </t>
  </si>
  <si>
    <t xml:space="preserve">LADY </t>
  </si>
  <si>
    <t xml:space="preserve">Lady </t>
  </si>
  <si>
    <t xml:space="preserve">LORD </t>
  </si>
  <si>
    <t xml:space="preserve">Lord </t>
  </si>
  <si>
    <t xml:space="preserve">LT </t>
  </si>
  <si>
    <t xml:space="preserve">Lieutenant </t>
  </si>
  <si>
    <t xml:space="preserve">MAJ </t>
  </si>
  <si>
    <t xml:space="preserve">Majoor//Major </t>
  </si>
  <si>
    <t xml:space="preserve">ME </t>
  </si>
  <si>
    <t xml:space="preserve">MEJ/MEV </t>
  </si>
  <si>
    <t xml:space="preserve">MEJ </t>
  </si>
  <si>
    <t xml:space="preserve">Mejufrou </t>
  </si>
  <si>
    <t xml:space="preserve">MEV </t>
  </si>
  <si>
    <t xml:space="preserve">Mevrou </t>
  </si>
  <si>
    <t xml:space="preserve">MISS </t>
  </si>
  <si>
    <t xml:space="preserve">Miss </t>
  </si>
  <si>
    <t xml:space="preserve">MNR </t>
  </si>
  <si>
    <t xml:space="preserve">Meneer  </t>
  </si>
  <si>
    <t xml:space="preserve">MR </t>
  </si>
  <si>
    <t xml:space="preserve">Mister </t>
  </si>
  <si>
    <t xml:space="preserve">MRS </t>
  </si>
  <si>
    <t xml:space="preserve">Mrs </t>
  </si>
  <si>
    <t xml:space="preserve">MS </t>
  </si>
  <si>
    <t xml:space="preserve">Miss/Mrs </t>
  </si>
  <si>
    <t xml:space="preserve">PAST </t>
  </si>
  <si>
    <t xml:space="preserve">Pastoor </t>
  </si>
  <si>
    <t xml:space="preserve">PROF </t>
  </si>
  <si>
    <t xml:space="preserve">Professor </t>
  </si>
  <si>
    <t xml:space="preserve">REV </t>
  </si>
  <si>
    <t xml:space="preserve">Reverend </t>
  </si>
  <si>
    <t xml:space="preserve">SERS </t>
  </si>
  <si>
    <t xml:space="preserve">Sersant </t>
  </si>
  <si>
    <t xml:space="preserve">SGT </t>
  </si>
  <si>
    <t xml:space="preserve">Sergeant </t>
  </si>
  <si>
    <t xml:space="preserve">SIR </t>
  </si>
  <si>
    <t xml:space="preserve">Sir </t>
  </si>
  <si>
    <t>Income Frequency'!A1</t>
  </si>
  <si>
    <t>Title Table'!A1</t>
  </si>
  <si>
    <t>Consider providing Guarantor code</t>
  </si>
  <si>
    <t xml:space="preserve">CRB spec allowed for 30 characters. Having 13 will ensure that if errors are made by data suppliers in suppling cross border ID numbers, here, bureuas will not fail the entire file. </t>
  </si>
  <si>
    <t xml:space="preserve">IF NOT (Botswana Passport is BN followed by 7 numeric) THEN flag_error();  </t>
  </si>
  <si>
    <t>We will not validate for only Botswana Passport but will allow all passport or Other ID numbers in this field from other countries were applicable</t>
  </si>
  <si>
    <t>It was suggested the bureaus derive the Gender from ID number rather than relying on the supplier input which may be wrong.</t>
  </si>
  <si>
    <t>Changed to Optional</t>
  </si>
  <si>
    <t xml:space="preserve">An additional ownership type to indicate Guarantor will catered for. The Guarantors are only applicable to secured loans and will only be supplier when the loan applicant goes into default on the agreement. </t>
  </si>
  <si>
    <t>Removing 36 month rule as prescription law differs in Botswana. Added 60 month rule</t>
  </si>
  <si>
    <t>Last Payment Date is greater than 60 months prior to the Month End Date</t>
  </si>
  <si>
    <t>Added rule related to prescription period of 5 years.</t>
  </si>
  <si>
    <t xml:space="preserve">If Debt is prescribed, Banks are advised to submit the B status code for prescriber.  </t>
  </si>
  <si>
    <t>Contention raised about reporting months in arrears as opposed to days in arrears. There is no daily reporting on arrears.                                                                                                                        Payments are evaluated at statement or reporting cut-off dates
If a payment is still unpaid when the cycle closes, it counts as being one month in arrears
Each subsequent missed cycle increases the arrears count</t>
  </si>
  <si>
    <t>We have made both these fields optional as many indicated that this may not be available for extraction and supply to bureaus</t>
  </si>
  <si>
    <t xml:space="preserve">As discussed only to be used in the case of Debt Sales to Debt Collection companies.  </t>
  </si>
  <si>
    <t>Guarantor</t>
  </si>
  <si>
    <r>
      <t xml:space="preserve">A guarantor is someone who agrees to be financially responsible for a loan </t>
    </r>
    <r>
      <rPr>
        <b/>
        <sz val="9"/>
        <color theme="1"/>
        <rFont val="Segoe UI"/>
        <family val="2"/>
      </rPr>
      <t>only if the borrower defaults</t>
    </r>
    <r>
      <rPr>
        <sz val="9"/>
        <color theme="1"/>
        <rFont val="Segoe UI"/>
        <family val="2"/>
      </rPr>
      <t xml:space="preserve"> (fails to pay).</t>
    </r>
  </si>
  <si>
    <t>Currently only primary borrower is being supplied but will need to change as each individual who is jointly liable for a loan must be reported on</t>
  </si>
  <si>
    <t>Comments and notes from Training session with Botswana Information Providers</t>
  </si>
</sst>
</file>

<file path=xl/styles.xml><?xml version="1.0" encoding="utf-8"?>
<styleSheet xmlns="http://schemas.openxmlformats.org/spreadsheetml/2006/main" xmlns:mc="http://schemas.openxmlformats.org/markup-compatibility/2006" xmlns:x14ac="http://schemas.microsoft.com/office/spreadsheetml/2009/9/ac" mc:Ignorable="x14ac">
  <fonts count="66">
    <font>
      <sz val="11"/>
      <color theme="1"/>
      <name val="Aptos Narrow"/>
      <family val="2"/>
      <scheme val="minor"/>
    </font>
    <font>
      <b/>
      <sz val="9"/>
      <color theme="1"/>
      <name val="Aptos Narrow"/>
      <family val="2"/>
      <scheme val="minor"/>
    </font>
    <font>
      <b/>
      <sz val="9.5"/>
      <color rgb="FF231F20"/>
      <name val="Times New Roman"/>
      <family val="1"/>
    </font>
    <font>
      <sz val="9"/>
      <color theme="1"/>
      <name val="Aptos Narrow"/>
      <family val="2"/>
      <scheme val="minor"/>
    </font>
    <font>
      <b/>
      <u/>
      <sz val="9.5"/>
      <color rgb="FF231F20"/>
      <name val="Times New Roman"/>
      <family val="1"/>
    </font>
    <font>
      <b/>
      <u/>
      <sz val="9.5"/>
      <color rgb="FFFF0000"/>
      <name val="Times New Roman"/>
      <family val="1"/>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Calibri"/>
      <family val="2"/>
    </font>
    <font>
      <b/>
      <sz val="10"/>
      <color theme="1"/>
      <name val="Aptos Narrow"/>
      <family val="2"/>
      <scheme val="minor"/>
    </font>
    <font>
      <sz val="10"/>
      <color theme="1"/>
      <name val="Aptos Narrow"/>
      <family val="2"/>
      <scheme val="minor"/>
    </font>
    <font>
      <sz val="11"/>
      <color rgb="FFFF0000"/>
      <name val="Aptos Narrow"/>
      <family val="2"/>
      <scheme val="minor"/>
    </font>
    <font>
      <sz val="9"/>
      <color rgb="FFFF0000"/>
      <name val="Aptos Narrow"/>
      <family val="2"/>
      <scheme val="minor"/>
    </font>
    <font>
      <b/>
      <sz val="9.5"/>
      <color rgb="FF231F20"/>
      <name val="Aptos Narrow"/>
      <family val="2"/>
      <scheme val="minor"/>
    </font>
    <font>
      <sz val="11"/>
      <color theme="1"/>
      <name val="Aptos Narrow"/>
      <family val="2"/>
    </font>
    <font>
      <b/>
      <sz val="10"/>
      <color rgb="FF000000"/>
      <name val="Aptos Narrow"/>
      <family val="2"/>
    </font>
    <font>
      <sz val="10"/>
      <color rgb="FF000000"/>
      <name val="Aptos Narrow"/>
      <family val="2"/>
    </font>
    <font>
      <sz val="10"/>
      <color theme="1"/>
      <name val="Aptos Narrow"/>
      <family val="2"/>
    </font>
    <font>
      <sz val="8"/>
      <name val="Aptos Narrow"/>
      <family val="2"/>
      <scheme val="minor"/>
    </font>
    <font>
      <sz val="10"/>
      <color indexed="8"/>
      <name val="Arial"/>
      <family val="2"/>
    </font>
    <font>
      <b/>
      <u/>
      <sz val="9"/>
      <color indexed="8"/>
      <name val="Aptos Narrow"/>
      <family val="2"/>
      <scheme val="minor"/>
    </font>
    <font>
      <sz val="9"/>
      <color indexed="8"/>
      <name val="Aptos Narrow"/>
      <family val="2"/>
      <scheme val="minor"/>
    </font>
    <font>
      <sz val="9"/>
      <name val="Aptos Narrow"/>
      <family val="2"/>
      <scheme val="minor"/>
    </font>
    <font>
      <b/>
      <sz val="9"/>
      <color indexed="8"/>
      <name val="Aptos Narrow"/>
      <family val="2"/>
      <scheme val="minor"/>
    </font>
    <font>
      <b/>
      <sz val="11"/>
      <color theme="1"/>
      <name val="Calibri"/>
      <family val="2"/>
    </font>
    <font>
      <b/>
      <sz val="8"/>
      <color theme="1"/>
      <name val="Calibri"/>
      <family val="2"/>
    </font>
    <font>
      <sz val="8"/>
      <color theme="1"/>
      <name val="Calibri"/>
      <family val="2"/>
    </font>
    <font>
      <sz val="11"/>
      <color rgb="FF000000"/>
      <name val="Calibri"/>
      <family val="2"/>
    </font>
    <font>
      <sz val="11"/>
      <name val="Calibri"/>
      <family val="2"/>
    </font>
    <font>
      <b/>
      <sz val="9"/>
      <name val="Aptos Narrow"/>
      <family val="2"/>
      <scheme val="minor"/>
    </font>
    <font>
      <u/>
      <sz val="9"/>
      <color theme="10"/>
      <name val="Aptos Narrow"/>
      <family val="2"/>
      <scheme val="minor"/>
    </font>
    <font>
      <b/>
      <sz val="9"/>
      <color rgb="FF000000"/>
      <name val="Aptos Narrow"/>
      <family val="2"/>
    </font>
    <font>
      <sz val="9"/>
      <color rgb="FF000000"/>
      <name val="Aptos Narrow"/>
      <family val="2"/>
    </font>
    <font>
      <sz val="9"/>
      <color theme="1"/>
      <name val="Aptos Narrow"/>
      <family val="2"/>
    </font>
    <font>
      <b/>
      <sz val="9"/>
      <color theme="1"/>
      <name val="Aptos Narrow"/>
      <family val="2"/>
    </font>
    <font>
      <sz val="9"/>
      <color indexed="8"/>
      <name val="Tahoma"/>
      <family val="2"/>
    </font>
    <font>
      <b/>
      <sz val="10"/>
      <color theme="1"/>
      <name val="Aptos Narrow"/>
      <family val="2"/>
    </font>
    <font>
      <b/>
      <u/>
      <sz val="10"/>
      <color theme="1"/>
      <name val="Aptos Narrow"/>
      <family val="2"/>
      <scheme val="minor"/>
    </font>
    <font>
      <b/>
      <sz val="10"/>
      <color rgb="FFFF0000"/>
      <name val="Aptos Narrow"/>
      <family val="2"/>
      <scheme val="minor"/>
    </font>
    <font>
      <sz val="10"/>
      <color indexed="8"/>
      <name val="Aptos Narrow"/>
      <family val="2"/>
      <scheme val="minor"/>
    </font>
    <font>
      <b/>
      <u/>
      <sz val="12"/>
      <color indexed="8"/>
      <name val="Aptos Narrow"/>
      <family val="2"/>
      <scheme val="minor"/>
    </font>
    <font>
      <b/>
      <sz val="12"/>
      <color theme="1"/>
      <name val="Aptos Narrow"/>
      <family val="2"/>
      <scheme val="minor"/>
    </font>
    <font>
      <sz val="12"/>
      <color theme="1"/>
      <name val="Aptos Narrow"/>
      <family val="2"/>
      <scheme val="minor"/>
    </font>
    <font>
      <sz val="10"/>
      <color theme="0"/>
      <name val="Aptos Narrow"/>
      <family val="2"/>
      <scheme val="minor"/>
    </font>
    <font>
      <sz val="10"/>
      <color theme="0"/>
      <name val="Aptos Narrow"/>
      <family val="2"/>
    </font>
    <font>
      <b/>
      <sz val="10"/>
      <name val="Aptos Narrow"/>
      <family val="2"/>
    </font>
    <font>
      <sz val="10"/>
      <name val="Aptos Narrow"/>
      <family val="2"/>
    </font>
    <font>
      <sz val="11"/>
      <name val="Aptos Narrow"/>
      <family val="2"/>
    </font>
    <font>
      <i/>
      <sz val="10"/>
      <name val="Aptos Narrow"/>
      <family val="2"/>
    </font>
    <font>
      <sz val="10"/>
      <name val="Aptos Narrow"/>
      <family val="2"/>
      <scheme val="minor"/>
    </font>
    <font>
      <sz val="10"/>
      <color rgb="FF000000"/>
      <name val="Aptos Narrow"/>
      <family val="2"/>
      <scheme val="minor"/>
    </font>
    <font>
      <b/>
      <sz val="9"/>
      <color rgb="FF000000"/>
      <name val="Aptos"/>
      <family val="2"/>
    </font>
    <font>
      <sz val="9"/>
      <color rgb="FF000000"/>
      <name val="Aptos"/>
      <family val="2"/>
    </font>
    <font>
      <sz val="9"/>
      <color rgb="FF101010"/>
      <name val="Aptos"/>
      <family val="2"/>
    </font>
    <font>
      <sz val="9"/>
      <color theme="1"/>
      <name val="Aptos"/>
      <family val="2"/>
    </font>
    <font>
      <sz val="12"/>
      <color rgb="FF4F81BC"/>
      <name val="Aptos"/>
      <family val="2"/>
    </font>
    <font>
      <sz val="10"/>
      <color theme="1"/>
      <name val="Aptos"/>
      <family val="2"/>
    </font>
    <font>
      <sz val="7"/>
      <color theme="1"/>
      <name val="Aptos"/>
      <family val="2"/>
    </font>
    <font>
      <b/>
      <sz val="10"/>
      <color theme="1"/>
      <name val="Aptos"/>
      <family val="2"/>
    </font>
    <font>
      <b/>
      <sz val="9"/>
      <color rgb="FF000000"/>
      <name val="Segoe UI"/>
      <family val="2"/>
    </font>
    <font>
      <sz val="9"/>
      <color rgb="FF000000"/>
      <name val="Segoe UI"/>
      <family val="2"/>
    </font>
    <font>
      <sz val="9"/>
      <color theme="1"/>
      <name val="Segoe UI"/>
      <family val="2"/>
    </font>
    <font>
      <b/>
      <sz val="9"/>
      <color theme="1"/>
      <name val="Segoe UI"/>
      <family val="2"/>
    </font>
    <font>
      <sz val="9"/>
      <color rgb="FF000000"/>
      <name val="Calibri"/>
      <family val="2"/>
    </font>
    <font>
      <sz val="9"/>
      <color rgb="FFFF0000"/>
      <name val="Calibri"/>
      <family val="2"/>
    </font>
  </fonts>
  <fills count="19">
    <fill>
      <patternFill patternType="none"/>
    </fill>
    <fill>
      <patternFill patternType="gray125"/>
    </fill>
    <fill>
      <patternFill patternType="solid">
        <fgColor theme="4" tint="0.79998168889431442"/>
        <bgColor indexed="64"/>
      </patternFill>
    </fill>
    <fill>
      <patternFill patternType="solid">
        <fgColor theme="4"/>
      </patternFill>
    </fill>
    <fill>
      <patternFill patternType="solid">
        <fgColor rgb="FFFFFF00"/>
        <bgColor indexed="64"/>
      </patternFill>
    </fill>
    <fill>
      <patternFill patternType="solid">
        <fgColor rgb="FFFFC000"/>
        <bgColor indexed="64"/>
      </patternFill>
    </fill>
    <fill>
      <patternFill patternType="solid">
        <fgColor rgb="FFD9D9D9"/>
        <bgColor indexed="64"/>
      </patternFill>
    </fill>
    <fill>
      <patternFill patternType="solid">
        <fgColor theme="3" tint="0.499984740745262"/>
        <bgColor indexed="64"/>
      </patternFill>
    </fill>
    <fill>
      <patternFill patternType="solid">
        <fgColor theme="4" tint="0.59999389629810485"/>
        <bgColor indexed="0"/>
      </patternFill>
    </fill>
    <fill>
      <patternFill patternType="solid">
        <fgColor theme="4" tint="0.59999389629810485"/>
        <bgColor indexed="64"/>
      </patternFill>
    </fill>
    <fill>
      <patternFill patternType="solid">
        <fgColor theme="2" tint="-9.9978637043366805E-2"/>
        <bgColor indexed="0"/>
      </patternFill>
    </fill>
    <fill>
      <patternFill patternType="solid">
        <fgColor theme="2" tint="-9.9978637043366805E-2"/>
        <bgColor indexed="64"/>
      </patternFill>
    </fill>
    <fill>
      <patternFill patternType="solid">
        <fgColor theme="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3" tint="0.749992370372631"/>
        <bgColor indexed="64"/>
      </patternFill>
    </fill>
    <fill>
      <patternFill patternType="solid">
        <fgColor rgb="FFFF0000"/>
        <bgColor indexed="64"/>
      </patternFill>
    </fill>
    <fill>
      <patternFill patternType="solid">
        <fgColor rgb="FFDFDFDF"/>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bottom style="medium">
        <color rgb="FF000000"/>
      </bottom>
      <diagonal/>
    </border>
    <border>
      <left style="medium">
        <color rgb="FF000000"/>
      </left>
      <right/>
      <top/>
      <bottom style="medium">
        <color indexed="64"/>
      </bottom>
      <diagonal/>
    </border>
    <border>
      <left style="medium">
        <color rgb="FF000000"/>
      </left>
      <right/>
      <top style="medium">
        <color rgb="FF000000"/>
      </top>
      <bottom/>
      <diagonal/>
    </border>
    <border>
      <left style="medium">
        <color indexed="64"/>
      </left>
      <right style="medium">
        <color indexed="64"/>
      </right>
      <top style="medium">
        <color indexed="64"/>
      </top>
      <bottom style="medium">
        <color indexed="64"/>
      </bottom>
      <diagonal/>
    </border>
    <border>
      <left style="thin">
        <color indexed="23"/>
      </left>
      <right style="thin">
        <color indexed="23"/>
      </right>
      <top style="thin">
        <color indexed="2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medium">
        <color rgb="FF000000"/>
      </top>
      <bottom/>
      <diagonal/>
    </border>
    <border>
      <left/>
      <right/>
      <top style="thin">
        <color indexed="64"/>
      </top>
      <bottom/>
      <diagonal/>
    </border>
    <border>
      <left style="thin">
        <color theme="0"/>
      </left>
      <right style="thin">
        <color theme="0"/>
      </right>
      <top/>
      <bottom style="thin">
        <color theme="0"/>
      </bottom>
      <diagonal/>
    </border>
    <border>
      <left/>
      <right/>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theme="0"/>
      </right>
      <top/>
      <bottom style="thin">
        <color indexed="64"/>
      </bottom>
      <diagonal/>
    </border>
    <border>
      <left style="thin">
        <color theme="0"/>
      </left>
      <right style="thin">
        <color indexed="64"/>
      </right>
      <top/>
      <bottom style="thin">
        <color theme="0"/>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right/>
      <top/>
      <bottom style="thin">
        <color theme="0"/>
      </bottom>
      <diagonal/>
    </border>
    <border>
      <left/>
      <right style="thin">
        <color indexed="64"/>
      </right>
      <top style="thin">
        <color indexed="64"/>
      </top>
      <bottom style="thin">
        <color theme="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s>
  <cellStyleXfs count="5">
    <xf numFmtId="0" fontId="0" fillId="0" borderId="0"/>
    <xf numFmtId="0" fontId="7" fillId="3" borderId="0" applyNumberFormat="0" applyBorder="0" applyAlignment="0" applyProtection="0"/>
    <xf numFmtId="0" fontId="8" fillId="0" borderId="0" applyNumberFormat="0" applyFill="0" applyBorder="0" applyAlignment="0" applyProtection="0"/>
    <xf numFmtId="0" fontId="9" fillId="0" borderId="0"/>
    <xf numFmtId="0" fontId="20" fillId="0" borderId="0"/>
  </cellStyleXfs>
  <cellXfs count="359">
    <xf numFmtId="0" fontId="0" fillId="0" borderId="0" xfId="0"/>
    <xf numFmtId="0" fontId="3" fillId="2" borderId="1" xfId="0" applyFont="1" applyFill="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wrapText="1"/>
    </xf>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Border="1" applyAlignment="1">
      <alignment vertical="top" wrapText="1"/>
    </xf>
    <xf numFmtId="0" fontId="3" fillId="0" borderId="0" xfId="0" applyFont="1" applyAlignment="1">
      <alignment horizontal="left" wrapText="1"/>
    </xf>
    <xf numFmtId="0" fontId="3" fillId="0" borderId="0" xfId="0" applyFont="1" applyAlignment="1">
      <alignment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0" xfId="0" applyAlignment="1">
      <alignment horizontal="left" wrapText="1"/>
    </xf>
    <xf numFmtId="0" fontId="8" fillId="0" borderId="0" xfId="2" quotePrefix="1"/>
    <xf numFmtId="0" fontId="3" fillId="0" borderId="1" xfId="0" applyFont="1" applyBorder="1" applyAlignment="1">
      <alignment horizontal="left" vertical="center" wrapText="1"/>
    </xf>
    <xf numFmtId="0" fontId="3" fillId="4" borderId="1" xfId="0" applyFont="1" applyFill="1" applyBorder="1" applyAlignment="1">
      <alignment horizontal="left" vertical="top" wrapText="1"/>
    </xf>
    <xf numFmtId="0" fontId="0" fillId="0" borderId="0" xfId="0" applyAlignment="1">
      <alignment horizontal="left" vertical="top"/>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 fillId="2"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0" borderId="0" xfId="0" applyFont="1" applyAlignment="1">
      <alignment horizontal="left" vertical="top" wrapText="1"/>
    </xf>
    <xf numFmtId="0" fontId="14" fillId="0" borderId="1" xfId="0" applyFont="1" applyBorder="1" applyAlignment="1">
      <alignment horizontal="left" vertical="top" wrapText="1"/>
    </xf>
    <xf numFmtId="0" fontId="14" fillId="4" borderId="1" xfId="0" applyFont="1" applyFill="1" applyBorder="1" applyAlignment="1">
      <alignment horizontal="left" vertical="top" wrapText="1"/>
    </xf>
    <xf numFmtId="0" fontId="15" fillId="0" borderId="0" xfId="0" applyFont="1"/>
    <xf numFmtId="0" fontId="11" fillId="0" borderId="0" xfId="0" applyFont="1" applyAlignment="1">
      <alignment wrapText="1"/>
    </xf>
    <xf numFmtId="0" fontId="11" fillId="0" borderId="0" xfId="0" applyFont="1"/>
    <xf numFmtId="0" fontId="6" fillId="0" borderId="0" xfId="0" applyFont="1" applyAlignment="1">
      <alignment horizontal="left" vertical="top"/>
    </xf>
    <xf numFmtId="0" fontId="13" fillId="2"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3" fillId="0" borderId="1" xfId="0" applyFont="1" applyBorder="1" applyAlignment="1">
      <alignment horizontal="left" vertical="top" wrapText="1"/>
    </xf>
    <xf numFmtId="0" fontId="12" fillId="0" borderId="0" xfId="0" applyFont="1" applyAlignment="1">
      <alignment horizontal="left" vertical="top"/>
    </xf>
    <xf numFmtId="0" fontId="1" fillId="5"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1" fillId="0" borderId="0" xfId="0" applyFont="1" applyAlignment="1">
      <alignment vertical="top"/>
    </xf>
    <xf numFmtId="0" fontId="0" fillId="0" borderId="0" xfId="0" applyAlignment="1">
      <alignment vertical="top"/>
    </xf>
    <xf numFmtId="0" fontId="3" fillId="0" borderId="0" xfId="0" applyFont="1"/>
    <xf numFmtId="0" fontId="3" fillId="0" borderId="0" xfId="0" applyFont="1" applyAlignment="1">
      <alignment vertical="top"/>
    </xf>
    <xf numFmtId="0" fontId="22" fillId="0" borderId="1" xfId="4" applyFont="1" applyBorder="1" applyAlignment="1">
      <alignment horizontal="left" vertical="top" wrapText="1"/>
    </xf>
    <xf numFmtId="0" fontId="3" fillId="0" borderId="1" xfId="0" applyFont="1" applyBorder="1" applyAlignment="1">
      <alignment vertical="top"/>
    </xf>
    <xf numFmtId="0" fontId="9" fillId="0" borderId="0" xfId="0" applyFont="1"/>
    <xf numFmtId="0" fontId="23" fillId="0" borderId="1" xfId="4" applyFont="1" applyBorder="1" applyAlignment="1">
      <alignment horizontal="left" vertical="top" wrapText="1"/>
    </xf>
    <xf numFmtId="0" fontId="9" fillId="12" borderId="41" xfId="0" applyFont="1" applyFill="1" applyBorder="1"/>
    <xf numFmtId="0" fontId="9" fillId="12" borderId="45" xfId="0" applyFont="1" applyFill="1" applyBorder="1"/>
    <xf numFmtId="0" fontId="9" fillId="0" borderId="41" xfId="0" applyFont="1" applyBorder="1"/>
    <xf numFmtId="0" fontId="9" fillId="12" borderId="40" xfId="0" applyFont="1" applyFill="1" applyBorder="1"/>
    <xf numFmtId="0" fontId="9" fillId="12" borderId="42" xfId="0" applyFont="1" applyFill="1" applyBorder="1"/>
    <xf numFmtId="0" fontId="9" fillId="12" borderId="0" xfId="0" applyFont="1" applyFill="1"/>
    <xf numFmtId="0" fontId="9" fillId="13" borderId="46" xfId="0" applyFont="1" applyFill="1" applyBorder="1"/>
    <xf numFmtId="0" fontId="9" fillId="12" borderId="0" xfId="0" applyFont="1" applyFill="1" applyAlignment="1">
      <alignment vertical="center"/>
    </xf>
    <xf numFmtId="0" fontId="9" fillId="0" borderId="42" xfId="0" applyFont="1" applyBorder="1" applyAlignment="1">
      <alignment vertical="center"/>
    </xf>
    <xf numFmtId="0" fontId="9" fillId="12" borderId="43" xfId="0" applyFont="1" applyFill="1" applyBorder="1" applyAlignment="1">
      <alignment vertical="center"/>
    </xf>
    <xf numFmtId="0" fontId="9" fillId="0" borderId="0" xfId="0" applyFont="1" applyAlignment="1">
      <alignment vertical="center"/>
    </xf>
    <xf numFmtId="0" fontId="9" fillId="12" borderId="0" xfId="0" applyFont="1" applyFill="1" applyAlignment="1">
      <alignment horizontal="left" vertical="center"/>
    </xf>
    <xf numFmtId="0" fontId="9" fillId="0" borderId="39" xfId="0" applyFont="1" applyBorder="1" applyAlignment="1">
      <alignment horizontal="left" vertical="center"/>
    </xf>
    <xf numFmtId="0" fontId="9" fillId="12" borderId="47" xfId="0" applyFont="1" applyFill="1" applyBorder="1" applyAlignment="1">
      <alignment horizontal="left" vertical="center"/>
    </xf>
    <xf numFmtId="0" fontId="9" fillId="12" borderId="43" xfId="0" applyFont="1" applyFill="1" applyBorder="1" applyAlignment="1">
      <alignment horizontal="left" vertical="center"/>
    </xf>
    <xf numFmtId="0" fontId="9" fillId="0" borderId="0" xfId="0" applyFont="1" applyAlignment="1">
      <alignment horizontal="left" vertical="center"/>
    </xf>
    <xf numFmtId="0" fontId="25" fillId="12" borderId="1" xfId="3" applyFont="1" applyFill="1" applyBorder="1" applyAlignment="1">
      <alignment vertical="center"/>
    </xf>
    <xf numFmtId="0" fontId="25" fillId="0" borderId="0" xfId="3" applyFont="1" applyAlignment="1">
      <alignment horizontal="center" vertical="center"/>
    </xf>
    <xf numFmtId="0" fontId="27" fillId="12" borderId="1" xfId="3" applyFont="1" applyFill="1" applyBorder="1" applyAlignment="1">
      <alignment vertical="center" textRotation="45"/>
    </xf>
    <xf numFmtId="0" fontId="26" fillId="12" borderId="2" xfId="3" applyFont="1" applyFill="1" applyBorder="1" applyAlignment="1">
      <alignment vertical="center"/>
    </xf>
    <xf numFmtId="0" fontId="26" fillId="12" borderId="41" xfId="3" applyFont="1" applyFill="1" applyBorder="1" applyAlignment="1">
      <alignment horizontal="center" vertical="center"/>
    </xf>
    <xf numFmtId="0" fontId="26" fillId="12" borderId="45" xfId="3" applyFont="1" applyFill="1" applyBorder="1" applyAlignment="1">
      <alignment horizontal="center" vertical="center"/>
    </xf>
    <xf numFmtId="0" fontId="26" fillId="12" borderId="40" xfId="3" applyFont="1" applyFill="1" applyBorder="1" applyAlignment="1">
      <alignment horizontal="center" vertical="center"/>
    </xf>
    <xf numFmtId="0" fontId="26" fillId="0" borderId="0" xfId="3" applyFont="1" applyAlignment="1">
      <alignment horizontal="center" vertical="center"/>
    </xf>
    <xf numFmtId="0" fontId="27" fillId="0" borderId="0" xfId="0" applyFont="1"/>
    <xf numFmtId="0" fontId="28" fillId="12" borderId="1" xfId="3" applyFont="1" applyFill="1" applyBorder="1" applyAlignment="1">
      <alignment horizontal="center" vertical="center"/>
    </xf>
    <xf numFmtId="0" fontId="9" fillId="12" borderId="1" xfId="3" applyFill="1" applyBorder="1" applyAlignment="1">
      <alignment horizontal="center" vertical="center"/>
    </xf>
    <xf numFmtId="0" fontId="29" fillId="12" borderId="1" xfId="3" applyFont="1" applyFill="1" applyBorder="1" applyAlignment="1">
      <alignment horizontal="center" vertical="center"/>
    </xf>
    <xf numFmtId="0" fontId="28" fillId="12" borderId="48" xfId="3" applyFont="1" applyFill="1" applyBorder="1" applyAlignment="1">
      <alignment horizontal="center" vertical="center"/>
    </xf>
    <xf numFmtId="0" fontId="28" fillId="0" borderId="42" xfId="3" applyFont="1" applyBorder="1" applyAlignment="1">
      <alignment horizontal="center" vertical="center"/>
    </xf>
    <xf numFmtId="0" fontId="9" fillId="12" borderId="3" xfId="3" applyFill="1" applyBorder="1" applyAlignment="1">
      <alignment horizontal="center" vertical="center" wrapText="1"/>
    </xf>
    <xf numFmtId="0" fontId="9" fillId="12" borderId="49" xfId="3" applyFill="1" applyBorder="1" applyAlignment="1">
      <alignment vertical="center"/>
    </xf>
    <xf numFmtId="0" fontId="9" fillId="14" borderId="46" xfId="0" applyFont="1" applyFill="1" applyBorder="1"/>
    <xf numFmtId="0" fontId="9" fillId="0" borderId="46" xfId="0" applyFont="1" applyBorder="1"/>
    <xf numFmtId="0" fontId="9" fillId="15" borderId="46" xfId="0" applyFont="1" applyFill="1" applyBorder="1"/>
    <xf numFmtId="0" fontId="9" fillId="15" borderId="50" xfId="0" applyFont="1" applyFill="1" applyBorder="1"/>
    <xf numFmtId="0" fontId="9" fillId="12" borderId="1" xfId="3" applyFill="1" applyBorder="1" applyAlignment="1">
      <alignment horizontal="center" vertical="center" wrapText="1"/>
    </xf>
    <xf numFmtId="0" fontId="9" fillId="12" borderId="51" xfId="3" applyFill="1" applyBorder="1" applyAlignment="1">
      <alignment vertical="center"/>
    </xf>
    <xf numFmtId="0" fontId="9" fillId="14" borderId="52" xfId="0" applyFont="1" applyFill="1" applyBorder="1"/>
    <xf numFmtId="0" fontId="9" fillId="0" borderId="52" xfId="0" applyFont="1" applyBorder="1"/>
    <xf numFmtId="0" fontId="9" fillId="15" borderId="52" xfId="0" applyFont="1" applyFill="1" applyBorder="1"/>
    <xf numFmtId="0" fontId="9" fillId="15" borderId="53" xfId="0" applyFont="1" applyFill="1" applyBorder="1"/>
    <xf numFmtId="0" fontId="9" fillId="4" borderId="52" xfId="0" applyFont="1" applyFill="1" applyBorder="1"/>
    <xf numFmtId="0" fontId="9" fillId="4" borderId="53" xfId="0" applyFont="1" applyFill="1" applyBorder="1"/>
    <xf numFmtId="0" fontId="9" fillId="13" borderId="52" xfId="0" applyFont="1" applyFill="1" applyBorder="1"/>
    <xf numFmtId="0" fontId="9" fillId="12" borderId="39" xfId="0" applyFont="1" applyFill="1" applyBorder="1"/>
    <xf numFmtId="0" fontId="9" fillId="12" borderId="47" xfId="0" applyFont="1" applyFill="1" applyBorder="1"/>
    <xf numFmtId="0" fontId="9" fillId="0" borderId="47" xfId="0" applyFont="1" applyBorder="1"/>
    <xf numFmtId="0" fontId="9" fillId="12" borderId="38" xfId="0" applyFont="1" applyFill="1" applyBorder="1"/>
    <xf numFmtId="0" fontId="9" fillId="13" borderId="1" xfId="0" applyFont="1" applyFill="1" applyBorder="1"/>
    <xf numFmtId="0" fontId="9" fillId="14" borderId="1" xfId="0" applyFont="1" applyFill="1" applyBorder="1"/>
    <xf numFmtId="0" fontId="9" fillId="12" borderId="55" xfId="3" applyFill="1" applyBorder="1" applyAlignment="1">
      <alignment horizontal="center" vertical="center"/>
    </xf>
    <xf numFmtId="0" fontId="27" fillId="12" borderId="2" xfId="3" applyFont="1" applyFill="1" applyBorder="1" applyAlignment="1">
      <alignment vertical="center" textRotation="45"/>
    </xf>
    <xf numFmtId="0" fontId="9" fillId="0" borderId="54" xfId="0" applyFont="1" applyBorder="1"/>
    <xf numFmtId="0" fontId="28" fillId="0" borderId="0" xfId="3" applyFont="1" applyAlignment="1">
      <alignment horizontal="center" vertical="center"/>
    </xf>
    <xf numFmtId="0" fontId="30" fillId="0" borderId="1" xfId="1" applyFont="1" applyFill="1" applyBorder="1" applyAlignment="1">
      <alignment horizontal="left" vertical="top" wrapText="1"/>
    </xf>
    <xf numFmtId="1" fontId="30" fillId="0" borderId="1" xfId="1" applyNumberFormat="1" applyFont="1" applyFill="1" applyBorder="1" applyAlignment="1">
      <alignment horizontal="left" vertical="top" wrapText="1"/>
    </xf>
    <xf numFmtId="0" fontId="23" fillId="0" borderId="0" xfId="0" applyFont="1" applyAlignment="1">
      <alignment horizontal="left"/>
    </xf>
    <xf numFmtId="0" fontId="3" fillId="0" borderId="1" xfId="0" applyFont="1" applyBorder="1" applyAlignment="1">
      <alignment horizontal="left" vertical="top"/>
    </xf>
    <xf numFmtId="1" fontId="3" fillId="0" borderId="1" xfId="0" applyNumberFormat="1" applyFont="1" applyBorder="1" applyAlignment="1">
      <alignment horizontal="left" vertical="top"/>
    </xf>
    <xf numFmtId="0" fontId="23" fillId="0" borderId="1" xfId="1" applyFont="1" applyFill="1" applyBorder="1" applyAlignment="1">
      <alignment horizontal="left" vertical="top" wrapText="1"/>
    </xf>
    <xf numFmtId="0" fontId="31" fillId="0" borderId="1" xfId="2" applyFont="1" applyBorder="1" applyAlignment="1">
      <alignment horizontal="left" vertical="top" wrapText="1"/>
    </xf>
    <xf numFmtId="0" fontId="23" fillId="0" borderId="1" xfId="1" applyFont="1" applyFill="1" applyBorder="1" applyAlignment="1">
      <alignment vertical="top" wrapText="1"/>
    </xf>
    <xf numFmtId="0" fontId="31" fillId="0" borderId="1" xfId="2" applyFont="1" applyFill="1" applyBorder="1" applyAlignment="1">
      <alignment horizontal="left" vertical="top"/>
    </xf>
    <xf numFmtId="1" fontId="23" fillId="0" borderId="1" xfId="1" applyNumberFormat="1" applyFont="1" applyFill="1" applyBorder="1" applyAlignment="1">
      <alignment horizontal="left" vertical="top" wrapText="1"/>
    </xf>
    <xf numFmtId="0" fontId="32" fillId="6" borderId="5" xfId="0" applyFont="1" applyFill="1" applyBorder="1" applyAlignment="1">
      <alignment horizontal="left" vertical="center" wrapText="1"/>
    </xf>
    <xf numFmtId="0" fontId="32" fillId="6" borderId="6" xfId="0" applyFont="1" applyFill="1" applyBorder="1" applyAlignment="1">
      <alignment horizontal="left" vertical="center" wrapText="1"/>
    </xf>
    <xf numFmtId="0" fontId="32" fillId="6" borderId="12" xfId="0" applyFont="1" applyFill="1" applyBorder="1" applyAlignment="1">
      <alignment horizontal="left" vertical="center" wrapText="1"/>
    </xf>
    <xf numFmtId="0" fontId="33" fillId="0" borderId="11" xfId="0" applyFont="1" applyBorder="1" applyAlignment="1">
      <alignment horizontal="left" vertical="center" wrapText="1"/>
    </xf>
    <xf numFmtId="0" fontId="33" fillId="0" borderId="32" xfId="0" applyFont="1" applyBorder="1" applyAlignment="1">
      <alignment horizontal="left" vertical="center" wrapText="1"/>
    </xf>
    <xf numFmtId="0" fontId="33" fillId="0" borderId="10" xfId="0" applyFont="1" applyBorder="1" applyAlignment="1">
      <alignment horizontal="left" vertical="center" wrapText="1"/>
    </xf>
    <xf numFmtId="0" fontId="33" fillId="0" borderId="10" xfId="0" applyFont="1" applyBorder="1" applyAlignment="1">
      <alignment horizontal="justify" vertical="center" wrapText="1"/>
    </xf>
    <xf numFmtId="0" fontId="33" fillId="0" borderId="9" xfId="0" applyFont="1" applyBorder="1" applyAlignment="1">
      <alignment horizontal="left" vertical="center" wrapText="1"/>
    </xf>
    <xf numFmtId="0" fontId="33" fillId="0" borderId="15" xfId="0" applyFont="1" applyBorder="1" applyAlignment="1">
      <alignment horizontal="left" vertical="center" wrapText="1"/>
    </xf>
    <xf numFmtId="0" fontId="33" fillId="0" borderId="17" xfId="0" applyFont="1" applyBorder="1" applyAlignment="1">
      <alignment horizontal="left" vertical="center" wrapText="1"/>
    </xf>
    <xf numFmtId="0" fontId="33" fillId="0" borderId="20" xfId="0" applyFont="1" applyBorder="1" applyAlignment="1">
      <alignment horizontal="justify" vertical="center" wrapText="1"/>
    </xf>
    <xf numFmtId="0" fontId="33" fillId="0" borderId="27" xfId="0" applyFont="1" applyBorder="1" applyAlignment="1">
      <alignment horizontal="left" vertical="center" wrapText="1"/>
    </xf>
    <xf numFmtId="0" fontId="33" fillId="0" borderId="26" xfId="0" applyFont="1" applyBorder="1" applyAlignment="1">
      <alignment horizontal="justify" vertical="center" wrapText="1"/>
    </xf>
    <xf numFmtId="0" fontId="33" fillId="0" borderId="28" xfId="0" applyFont="1" applyBorder="1" applyAlignment="1">
      <alignment horizontal="justify" vertical="center" wrapText="1"/>
    </xf>
    <xf numFmtId="0" fontId="33" fillId="0" borderId="20" xfId="0" applyFont="1" applyBorder="1" applyAlignment="1">
      <alignment horizontal="left" vertical="center" wrapText="1"/>
    </xf>
    <xf numFmtId="0" fontId="34" fillId="0" borderId="32" xfId="0" applyFont="1" applyBorder="1" applyAlignment="1">
      <alignment vertical="top"/>
    </xf>
    <xf numFmtId="0" fontId="3" fillId="0" borderId="37" xfId="0" applyFont="1" applyBorder="1" applyAlignment="1">
      <alignment vertical="top" wrapText="1"/>
    </xf>
    <xf numFmtId="0" fontId="34" fillId="0" borderId="0" xfId="0" applyFont="1" applyAlignment="1">
      <alignment vertical="top"/>
    </xf>
    <xf numFmtId="0" fontId="3" fillId="0" borderId="0" xfId="0" applyFont="1" applyAlignment="1">
      <alignment vertical="top" wrapText="1"/>
    </xf>
    <xf numFmtId="0" fontId="34" fillId="0" borderId="0" xfId="0" applyFont="1"/>
    <xf numFmtId="0" fontId="36" fillId="0" borderId="33" xfId="4" applyFont="1" applyBorder="1" applyAlignment="1">
      <alignment horizontal="left" vertical="top" wrapText="1"/>
    </xf>
    <xf numFmtId="0" fontId="34" fillId="0" borderId="0" xfId="0" applyFont="1" applyAlignment="1">
      <alignment wrapText="1"/>
    </xf>
    <xf numFmtId="0" fontId="35" fillId="4" borderId="0" xfId="0" applyFont="1" applyFill="1"/>
    <xf numFmtId="0" fontId="3" fillId="4" borderId="0" xfId="0" applyFont="1" applyFill="1" applyAlignment="1">
      <alignment wrapText="1"/>
    </xf>
    <xf numFmtId="0" fontId="34" fillId="4" borderId="1" xfId="0" applyFont="1" applyFill="1" applyBorder="1" applyAlignment="1">
      <alignment vertical="top"/>
    </xf>
    <xf numFmtId="0" fontId="34" fillId="4" borderId="1" xfId="0" applyFont="1" applyFill="1" applyBorder="1" applyAlignment="1">
      <alignment vertical="top" wrapText="1"/>
    </xf>
    <xf numFmtId="0" fontId="34" fillId="4" borderId="1" xfId="0" applyFont="1" applyFill="1" applyBorder="1"/>
    <xf numFmtId="0" fontId="34" fillId="4" borderId="1" xfId="0" applyFont="1" applyFill="1" applyBorder="1" applyAlignment="1">
      <alignment wrapText="1"/>
    </xf>
    <xf numFmtId="0" fontId="1" fillId="16" borderId="0" xfId="0" applyFont="1" applyFill="1"/>
    <xf numFmtId="0" fontId="3" fillId="16" borderId="0" xfId="0" applyFont="1" applyFill="1"/>
    <xf numFmtId="0" fontId="1" fillId="0" borderId="1" xfId="0" quotePrefix="1" applyFont="1" applyBorder="1" applyAlignment="1">
      <alignment horizontal="left" vertical="top" wrapText="1"/>
    </xf>
    <xf numFmtId="0" fontId="1" fillId="0" borderId="1" xfId="0" applyFont="1" applyBorder="1" applyAlignment="1">
      <alignment vertical="top" wrapText="1"/>
    </xf>
    <xf numFmtId="49" fontId="1" fillId="0" borderId="1" xfId="0" applyNumberFormat="1" applyFont="1" applyBorder="1" applyAlignment="1">
      <alignment horizontal="left" vertical="top" wrapText="1"/>
    </xf>
    <xf numFmtId="0" fontId="3" fillId="0" borderId="0" xfId="0" applyFont="1" applyAlignment="1">
      <alignment horizontal="left"/>
    </xf>
    <xf numFmtId="0" fontId="10" fillId="0" borderId="0" xfId="0" applyFont="1"/>
    <xf numFmtId="0" fontId="3" fillId="0" borderId="1" xfId="0" quotePrefix="1" applyFont="1" applyBorder="1"/>
    <xf numFmtId="0" fontId="3" fillId="0" borderId="1" xfId="0" applyFont="1" applyBorder="1"/>
    <xf numFmtId="0" fontId="23" fillId="0" borderId="1" xfId="0" applyFont="1" applyBorder="1" applyAlignment="1">
      <alignment horizontal="left" vertical="top" wrapText="1"/>
    </xf>
    <xf numFmtId="0" fontId="22" fillId="17" borderId="1" xfId="4" applyFont="1" applyFill="1" applyBorder="1" applyAlignment="1">
      <alignment horizontal="left" vertical="top" wrapText="1"/>
    </xf>
    <xf numFmtId="0" fontId="18" fillId="0" borderId="0" xfId="0" applyFont="1"/>
    <xf numFmtId="0" fontId="11" fillId="0" borderId="1" xfId="0" applyFont="1" applyBorder="1"/>
    <xf numFmtId="0" fontId="11" fillId="0" borderId="1" xfId="0" applyFont="1" applyBorder="1" applyAlignment="1">
      <alignment vertical="top" wrapText="1"/>
    </xf>
    <xf numFmtId="0" fontId="11" fillId="0" borderId="1" xfId="0" applyFont="1" applyBorder="1" applyAlignment="1">
      <alignment wrapText="1"/>
    </xf>
    <xf numFmtId="0" fontId="11" fillId="0" borderId="1" xfId="0" applyFont="1" applyBorder="1" applyAlignment="1">
      <alignment horizontal="left" vertical="top" wrapText="1"/>
    </xf>
    <xf numFmtId="0" fontId="17" fillId="0" borderId="36" xfId="3" applyFont="1" applyBorder="1" applyAlignment="1">
      <alignment horizontal="left" vertical="top" wrapText="1"/>
    </xf>
    <xf numFmtId="0" fontId="17" fillId="0" borderId="34" xfId="3" applyFont="1" applyBorder="1" applyAlignment="1">
      <alignment horizontal="left" vertical="top" wrapText="1"/>
    </xf>
    <xf numFmtId="0" fontId="17" fillId="0" borderId="40" xfId="3" applyFont="1" applyBorder="1" applyAlignment="1">
      <alignment horizontal="left" vertical="top" wrapText="1"/>
    </xf>
    <xf numFmtId="0" fontId="17" fillId="0" borderId="41" xfId="3" applyFont="1" applyBorder="1" applyAlignment="1">
      <alignment horizontal="left" vertical="top" wrapText="1"/>
    </xf>
    <xf numFmtId="0" fontId="10" fillId="0" borderId="1" xfId="0" applyFont="1" applyBorder="1" applyAlignment="1">
      <alignment vertical="top"/>
    </xf>
    <xf numFmtId="0" fontId="10" fillId="0" borderId="1" xfId="0" applyFont="1" applyBorder="1" applyAlignment="1">
      <alignment wrapText="1"/>
    </xf>
    <xf numFmtId="0" fontId="11" fillId="0" borderId="1" xfId="0" applyFont="1" applyBorder="1" applyAlignment="1">
      <alignment vertical="top"/>
    </xf>
    <xf numFmtId="0" fontId="39" fillId="0" borderId="1" xfId="0" applyFont="1" applyBorder="1" applyAlignment="1">
      <alignment horizontal="left" vertical="top"/>
    </xf>
    <xf numFmtId="0" fontId="39" fillId="0" borderId="1" xfId="0" applyFont="1" applyBorder="1" applyAlignment="1">
      <alignment horizontal="left" vertical="top" wrapText="1"/>
    </xf>
    <xf numFmtId="0" fontId="10" fillId="0" borderId="0" xfId="0" applyFont="1" applyAlignment="1">
      <alignment vertical="top"/>
    </xf>
    <xf numFmtId="0" fontId="22" fillId="0" borderId="2" xfId="4" applyFont="1" applyBorder="1" applyAlignment="1">
      <alignment horizontal="left" vertical="top" wrapText="1"/>
    </xf>
    <xf numFmtId="0" fontId="22" fillId="0" borderId="3" xfId="4" applyFont="1" applyBorder="1" applyAlignment="1">
      <alignment horizontal="left" vertical="top" wrapText="1"/>
    </xf>
    <xf numFmtId="0" fontId="22" fillId="0" borderId="4" xfId="4" applyFont="1" applyBorder="1" applyAlignment="1">
      <alignment horizontal="left" vertical="top" wrapText="1"/>
    </xf>
    <xf numFmtId="0" fontId="43" fillId="0" borderId="0" xfId="0" applyFont="1" applyAlignment="1">
      <alignment vertical="top"/>
    </xf>
    <xf numFmtId="0" fontId="3" fillId="0" borderId="34" xfId="0" applyFont="1" applyBorder="1" applyAlignment="1">
      <alignment vertical="top" wrapText="1"/>
    </xf>
    <xf numFmtId="0" fontId="3" fillId="9" borderId="34" xfId="0" applyFont="1" applyFill="1" applyBorder="1" applyAlignment="1">
      <alignment vertical="top" wrapText="1"/>
    </xf>
    <xf numFmtId="0" fontId="23" fillId="0" borderId="34" xfId="0" applyFont="1" applyBorder="1" applyAlignment="1">
      <alignment vertical="top" wrapText="1"/>
    </xf>
    <xf numFmtId="0" fontId="3" fillId="0" borderId="34" xfId="0" applyFont="1" applyBorder="1" applyAlignment="1">
      <alignment horizontal="left" vertical="top" wrapText="1"/>
    </xf>
    <xf numFmtId="0" fontId="13" fillId="0" borderId="34" xfId="0" applyFont="1" applyBorder="1" applyAlignment="1">
      <alignment vertical="top" wrapText="1"/>
    </xf>
    <xf numFmtId="0" fontId="3" fillId="0" borderId="34" xfId="0" applyFont="1" applyBorder="1" applyAlignment="1">
      <alignment vertical="top"/>
    </xf>
    <xf numFmtId="0" fontId="22" fillId="0" borderId="34" xfId="4" applyFont="1" applyBorder="1" applyAlignment="1">
      <alignment horizontal="left" vertical="top" wrapText="1"/>
    </xf>
    <xf numFmtId="0" fontId="23" fillId="0" borderId="34" xfId="4" applyFont="1" applyBorder="1" applyAlignment="1">
      <alignment horizontal="left" vertical="top" wrapText="1"/>
    </xf>
    <xf numFmtId="0" fontId="41" fillId="10" borderId="59" xfId="4" applyFont="1" applyFill="1" applyBorder="1" applyAlignment="1">
      <alignment horizontal="center" vertical="top"/>
    </xf>
    <xf numFmtId="0" fontId="41" fillId="10" borderId="60" xfId="4" applyFont="1" applyFill="1" applyBorder="1" applyAlignment="1">
      <alignment horizontal="center" vertical="top"/>
    </xf>
    <xf numFmtId="0" fontId="42" fillId="11" borderId="61" xfId="0" applyFont="1" applyFill="1" applyBorder="1" applyAlignment="1">
      <alignment vertical="top" wrapText="1"/>
    </xf>
    <xf numFmtId="0" fontId="22" fillId="0" borderId="56" xfId="4" applyFont="1" applyBorder="1" applyAlignment="1">
      <alignment horizontal="left" vertical="top" wrapText="1"/>
    </xf>
    <xf numFmtId="0" fontId="22" fillId="17" borderId="56" xfId="4" applyFont="1" applyFill="1" applyBorder="1" applyAlignment="1">
      <alignment horizontal="left" vertical="top" wrapText="1"/>
    </xf>
    <xf numFmtId="0" fontId="22" fillId="0" borderId="57" xfId="4" applyFont="1" applyBorder="1" applyAlignment="1">
      <alignment horizontal="left" vertical="top" wrapText="1"/>
    </xf>
    <xf numFmtId="0" fontId="22" fillId="0" borderId="64" xfId="4" applyFont="1" applyBorder="1" applyAlignment="1">
      <alignment horizontal="left" vertical="top" wrapText="1"/>
    </xf>
    <xf numFmtId="0" fontId="3" fillId="0" borderId="64" xfId="0" applyFont="1" applyBorder="1" applyAlignment="1">
      <alignment vertical="top"/>
    </xf>
    <xf numFmtId="0" fontId="3" fillId="0" borderId="64" xfId="0" applyFont="1" applyBorder="1" applyAlignment="1">
      <alignment vertical="top" wrapText="1"/>
    </xf>
    <xf numFmtId="0" fontId="3" fillId="9" borderId="39" xfId="0" applyFont="1" applyFill="1" applyBorder="1" applyAlignment="1">
      <alignment vertical="top" wrapText="1"/>
    </xf>
    <xf numFmtId="0" fontId="30" fillId="11" borderId="1" xfId="1" applyFont="1" applyFill="1" applyBorder="1" applyAlignment="1">
      <alignment vertical="top" wrapText="1"/>
    </xf>
    <xf numFmtId="0" fontId="30" fillId="11" borderId="1" xfId="1" applyFont="1" applyFill="1" applyBorder="1" applyAlignment="1">
      <alignment horizontal="left" vertical="top" wrapText="1"/>
    </xf>
    <xf numFmtId="1" fontId="30" fillId="11" borderId="1" xfId="1" applyNumberFormat="1" applyFont="1" applyFill="1" applyBorder="1" applyAlignment="1">
      <alignment horizontal="left" vertical="top" wrapText="1"/>
    </xf>
    <xf numFmtId="0" fontId="44" fillId="17" borderId="0" xfId="0" applyFont="1" applyFill="1"/>
    <xf numFmtId="0" fontId="11" fillId="7" borderId="0" xfId="0" applyFont="1" applyFill="1"/>
    <xf numFmtId="0" fontId="23" fillId="16" borderId="0" xfId="0" applyFont="1" applyFill="1" applyAlignment="1">
      <alignment horizontal="left" wrapText="1"/>
    </xf>
    <xf numFmtId="0" fontId="46" fillId="6" borderId="5" xfId="0" applyFont="1" applyFill="1" applyBorder="1" applyAlignment="1">
      <alignment horizontal="center" vertical="center" wrapText="1"/>
    </xf>
    <xf numFmtId="0" fontId="46" fillId="6" borderId="6" xfId="0" applyFont="1" applyFill="1" applyBorder="1" applyAlignment="1">
      <alignment horizontal="left" vertical="center" wrapText="1"/>
    </xf>
    <xf numFmtId="0" fontId="47" fillId="4" borderId="10" xfId="0" applyFont="1" applyFill="1" applyBorder="1" applyAlignment="1">
      <alignment horizontal="left" vertical="center" wrapText="1"/>
    </xf>
    <xf numFmtId="0" fontId="47" fillId="4" borderId="9" xfId="0" applyFont="1" applyFill="1" applyBorder="1" applyAlignment="1">
      <alignment horizontal="left" vertical="center" wrapText="1"/>
    </xf>
    <xf numFmtId="0" fontId="47" fillId="0" borderId="10" xfId="0" applyFont="1" applyBorder="1" applyAlignment="1">
      <alignment horizontal="left" vertical="center" wrapText="1"/>
    </xf>
    <xf numFmtId="0" fontId="46" fillId="0" borderId="10" xfId="0" applyFont="1" applyBorder="1" applyAlignment="1">
      <alignment horizontal="left" vertical="center" wrapText="1"/>
    </xf>
    <xf numFmtId="0" fontId="47" fillId="0" borderId="9" xfId="0" applyFont="1" applyBorder="1" applyAlignment="1">
      <alignment horizontal="left" vertical="center" wrapText="1"/>
    </xf>
    <xf numFmtId="0" fontId="47" fillId="0" borderId="12" xfId="0" applyFont="1" applyBorder="1" applyAlignment="1">
      <alignment horizontal="left" vertical="center" wrapText="1"/>
    </xf>
    <xf numFmtId="0" fontId="48" fillId="0" borderId="10" xfId="0" applyFont="1" applyBorder="1" applyAlignment="1">
      <alignment vertical="top" wrapText="1"/>
    </xf>
    <xf numFmtId="0" fontId="48" fillId="0" borderId="9" xfId="0" applyFont="1" applyBorder="1" applyAlignment="1">
      <alignment vertical="top" wrapText="1"/>
    </xf>
    <xf numFmtId="0" fontId="48" fillId="0" borderId="10" xfId="0" applyFont="1" applyBorder="1" applyAlignment="1">
      <alignment vertical="center" wrapText="1"/>
    </xf>
    <xf numFmtId="0" fontId="48" fillId="0" borderId="9" xfId="0" applyFont="1" applyBorder="1" applyAlignment="1">
      <alignment vertical="center" wrapText="1"/>
    </xf>
    <xf numFmtId="0" fontId="47" fillId="4" borderId="15" xfId="0" applyFont="1" applyFill="1" applyBorder="1" applyAlignment="1">
      <alignment horizontal="left" vertical="center" wrapText="1"/>
    </xf>
    <xf numFmtId="0" fontId="49" fillId="4" borderId="17" xfId="0" applyFont="1" applyFill="1" applyBorder="1" applyAlignment="1">
      <alignment horizontal="left" vertical="center" wrapText="1"/>
    </xf>
    <xf numFmtId="0" fontId="47" fillId="4" borderId="17" xfId="0" applyFont="1" applyFill="1" applyBorder="1" applyAlignment="1">
      <alignment horizontal="left" vertical="center" wrapText="1"/>
    </xf>
    <xf numFmtId="0" fontId="47" fillId="4" borderId="20" xfId="0" applyFont="1" applyFill="1" applyBorder="1" applyAlignment="1">
      <alignment horizontal="left" vertical="center" wrapText="1"/>
    </xf>
    <xf numFmtId="0" fontId="46" fillId="4" borderId="10" xfId="0" applyFont="1" applyFill="1" applyBorder="1" applyAlignment="1">
      <alignment horizontal="left" vertical="center" wrapText="1"/>
    </xf>
    <xf numFmtId="0" fontId="47" fillId="0" borderId="0" xfId="0" applyFont="1" applyAlignment="1">
      <alignment wrapText="1" shrinkToFit="1"/>
    </xf>
    <xf numFmtId="0" fontId="48" fillId="4" borderId="0" xfId="0" applyFont="1" applyFill="1"/>
    <xf numFmtId="0" fontId="48" fillId="0" borderId="0" xfId="0" applyFont="1"/>
    <xf numFmtId="0" fontId="50" fillId="0" borderId="1" xfId="0" applyFont="1" applyBorder="1" applyAlignment="1">
      <alignment vertical="top" wrapText="1"/>
    </xf>
    <xf numFmtId="0" fontId="10" fillId="11" borderId="1" xfId="0" applyFont="1" applyFill="1" applyBorder="1"/>
    <xf numFmtId="0" fontId="51" fillId="0" borderId="1" xfId="0" applyFont="1" applyBorder="1" applyAlignment="1">
      <alignment horizontal="justify" vertical="center"/>
    </xf>
    <xf numFmtId="0" fontId="10" fillId="11" borderId="0" xfId="0" applyFont="1" applyFill="1" applyAlignment="1">
      <alignment wrapText="1"/>
    </xf>
    <xf numFmtId="0" fontId="10" fillId="11" borderId="1" xfId="0" applyFont="1" applyFill="1" applyBorder="1" applyAlignment="1">
      <alignment wrapText="1"/>
    </xf>
    <xf numFmtId="0" fontId="1" fillId="11" borderId="1" xfId="0" applyFont="1" applyFill="1" applyBorder="1"/>
    <xf numFmtId="0" fontId="46" fillId="11" borderId="8" xfId="0" applyFont="1" applyFill="1" applyBorder="1" applyAlignment="1">
      <alignment horizontal="center" vertical="center" wrapText="1"/>
    </xf>
    <xf numFmtId="0" fontId="48" fillId="11" borderId="8" xfId="0" applyFont="1" applyFill="1" applyBorder="1" applyAlignment="1">
      <alignment vertical="top" wrapText="1"/>
    </xf>
    <xf numFmtId="0" fontId="48" fillId="11" borderId="7" xfId="0" applyFont="1" applyFill="1" applyBorder="1" applyAlignment="1">
      <alignment vertical="top" wrapText="1"/>
    </xf>
    <xf numFmtId="0" fontId="38" fillId="11" borderId="1" xfId="0" applyFont="1" applyFill="1" applyBorder="1" applyAlignment="1">
      <alignment vertical="top"/>
    </xf>
    <xf numFmtId="0" fontId="38" fillId="11" borderId="1" xfId="0" applyFont="1" applyFill="1" applyBorder="1" applyAlignment="1">
      <alignment vertical="top" wrapText="1"/>
    </xf>
    <xf numFmtId="0" fontId="16" fillId="11" borderId="38" xfId="3" applyFont="1" applyFill="1" applyBorder="1" applyAlignment="1">
      <alignment wrapText="1"/>
    </xf>
    <xf numFmtId="0" fontId="16" fillId="11" borderId="39" xfId="3" applyFont="1" applyFill="1" applyBorder="1" applyAlignment="1">
      <alignment horizontal="left" wrapText="1"/>
    </xf>
    <xf numFmtId="0" fontId="37" fillId="11" borderId="3" xfId="0" applyFont="1" applyFill="1" applyBorder="1"/>
    <xf numFmtId="0" fontId="18" fillId="0" borderId="1" xfId="0" applyFont="1" applyBorder="1"/>
    <xf numFmtId="0" fontId="1" fillId="11" borderId="1" xfId="0" applyFont="1" applyFill="1" applyBorder="1" applyAlignment="1">
      <alignment horizontal="left" vertical="center" wrapText="1"/>
    </xf>
    <xf numFmtId="0" fontId="1" fillId="11" borderId="1" xfId="0" applyFont="1" applyFill="1" applyBorder="1" applyAlignment="1">
      <alignment vertical="center" wrapText="1"/>
    </xf>
    <xf numFmtId="0" fontId="10" fillId="11" borderId="1" xfId="0" applyFont="1" applyFill="1" applyBorder="1" applyAlignment="1">
      <alignment vertical="top"/>
    </xf>
    <xf numFmtId="0" fontId="11" fillId="11" borderId="1" xfId="0" applyFont="1" applyFill="1" applyBorder="1"/>
    <xf numFmtId="0" fontId="52" fillId="11" borderId="1" xfId="0" applyFont="1" applyFill="1" applyBorder="1" applyAlignment="1">
      <alignment horizontal="left" vertical="top" wrapText="1"/>
    </xf>
    <xf numFmtId="0" fontId="53" fillId="0" borderId="1" xfId="0" quotePrefix="1" applyFont="1" applyBorder="1" applyAlignment="1">
      <alignment horizontal="left" vertical="top" wrapText="1"/>
    </xf>
    <xf numFmtId="0" fontId="53" fillId="0" borderId="1" xfId="0" applyFont="1" applyBorder="1" applyAlignment="1">
      <alignment horizontal="left" vertical="top" wrapText="1"/>
    </xf>
    <xf numFmtId="0" fontId="52" fillId="0" borderId="1" xfId="0" applyFont="1" applyBorder="1" applyAlignment="1">
      <alignment horizontal="left" vertical="top" wrapText="1"/>
    </xf>
    <xf numFmtId="0" fontId="53" fillId="0" borderId="1" xfId="0" applyFont="1" applyBorder="1" applyAlignment="1">
      <alignment horizontal="justify" vertical="top" wrapText="1"/>
    </xf>
    <xf numFmtId="0" fontId="54" fillId="0" borderId="1" xfId="0" applyFont="1" applyBorder="1" applyAlignment="1">
      <alignment vertical="top" wrapText="1"/>
    </xf>
    <xf numFmtId="0" fontId="55" fillId="0" borderId="1" xfId="0" quotePrefix="1" applyFont="1" applyBorder="1" applyAlignment="1">
      <alignment vertical="top"/>
    </xf>
    <xf numFmtId="0" fontId="55" fillId="0" borderId="1" xfId="0" applyFont="1" applyBorder="1" applyAlignment="1">
      <alignment vertical="top"/>
    </xf>
    <xf numFmtId="0" fontId="55" fillId="0" borderId="1" xfId="0" applyFont="1" applyBorder="1" applyAlignment="1">
      <alignment vertical="top" wrapText="1"/>
    </xf>
    <xf numFmtId="0" fontId="55" fillId="0" borderId="0" xfId="0" applyFont="1"/>
    <xf numFmtId="0" fontId="56" fillId="0" borderId="0" xfId="0" applyFont="1" applyAlignment="1">
      <alignment horizontal="left" vertical="center" indent="1"/>
    </xf>
    <xf numFmtId="0" fontId="55" fillId="0" borderId="0" xfId="0" applyFont="1" applyAlignment="1">
      <alignment wrapText="1"/>
    </xf>
    <xf numFmtId="0" fontId="57" fillId="0" borderId="0" xfId="0" applyFont="1" applyAlignment="1">
      <alignment horizontal="left" vertical="center" indent="7"/>
    </xf>
    <xf numFmtId="0" fontId="33" fillId="0" borderId="44" xfId="0" applyFont="1" applyBorder="1" applyAlignment="1">
      <alignment horizontal="left" vertical="center" wrapText="1"/>
    </xf>
    <xf numFmtId="0" fontId="33" fillId="0" borderId="14" xfId="0" applyFont="1" applyBorder="1" applyAlignment="1">
      <alignment horizontal="left" wrapText="1"/>
    </xf>
    <xf numFmtId="0" fontId="33" fillId="0" borderId="19" xfId="0" applyFont="1" applyBorder="1" applyAlignment="1">
      <alignment horizontal="left" wrapText="1"/>
    </xf>
    <xf numFmtId="0" fontId="34" fillId="0" borderId="37" xfId="0" applyFont="1" applyBorder="1" applyAlignment="1">
      <alignment horizontal="left" vertical="top"/>
    </xf>
    <xf numFmtId="0" fontId="34" fillId="0" borderId="32" xfId="0" applyFont="1" applyBorder="1" applyAlignment="1">
      <alignment horizontal="left" vertical="top"/>
    </xf>
    <xf numFmtId="0" fontId="34" fillId="0" borderId="0" xfId="0" applyFont="1" applyAlignment="1">
      <alignment horizontal="left" vertical="top"/>
    </xf>
    <xf numFmtId="0" fontId="34" fillId="4" borderId="0" xfId="0" applyFont="1" applyFill="1" applyAlignment="1">
      <alignment horizontal="left"/>
    </xf>
    <xf numFmtId="0" fontId="34" fillId="4" borderId="1" xfId="0" applyFont="1" applyFill="1" applyBorder="1" applyAlignment="1">
      <alignment horizontal="left" vertical="top"/>
    </xf>
    <xf numFmtId="0" fontId="34" fillId="4" borderId="1" xfId="0" applyFont="1" applyFill="1" applyBorder="1" applyAlignment="1">
      <alignment horizontal="left"/>
    </xf>
    <xf numFmtId="0" fontId="34" fillId="0" borderId="0" xfId="0" applyFont="1" applyAlignment="1">
      <alignment horizontal="left"/>
    </xf>
    <xf numFmtId="0" fontId="10" fillId="0" borderId="0" xfId="0" applyFont="1" applyAlignment="1">
      <alignment wrapText="1"/>
    </xf>
    <xf numFmtId="0" fontId="23" fillId="0" borderId="0" xfId="0" applyFont="1"/>
    <xf numFmtId="0" fontId="45" fillId="0" borderId="0" xfId="0" applyFont="1"/>
    <xf numFmtId="0" fontId="37" fillId="0" borderId="0" xfId="0" applyFont="1"/>
    <xf numFmtId="0" fontId="40" fillId="0" borderId="1" xfId="4" quotePrefix="1" applyFont="1" applyBorder="1" applyAlignment="1">
      <alignment horizontal="left" vertical="top" wrapText="1"/>
    </xf>
    <xf numFmtId="0" fontId="60" fillId="18" borderId="1" xfId="0" applyFont="1" applyFill="1" applyBorder="1" applyAlignment="1">
      <alignment horizontal="left" vertical="center" wrapText="1"/>
    </xf>
    <xf numFmtId="0" fontId="60" fillId="18" borderId="1" xfId="0" applyFont="1" applyFill="1" applyBorder="1" applyAlignment="1">
      <alignment vertical="center" wrapText="1"/>
    </xf>
    <xf numFmtId="0" fontId="61" fillId="6" borderId="1" xfId="0" applyFont="1" applyFill="1" applyBorder="1" applyAlignment="1">
      <alignment horizontal="left" vertical="center" wrapText="1"/>
    </xf>
    <xf numFmtId="0" fontId="62" fillId="0" borderId="1" xfId="0" applyFont="1" applyBorder="1" applyAlignment="1">
      <alignment vertical="center" wrapText="1"/>
    </xf>
    <xf numFmtId="0" fontId="13" fillId="12" borderId="1" xfId="4" applyFont="1" applyFill="1" applyBorder="1" applyAlignment="1">
      <alignment horizontal="left" vertical="top" wrapText="1"/>
    </xf>
    <xf numFmtId="0" fontId="13" fillId="12" borderId="56" xfId="4" applyFont="1" applyFill="1" applyBorder="1" applyAlignment="1">
      <alignment horizontal="left" vertical="top" wrapText="1"/>
    </xf>
    <xf numFmtId="0" fontId="13" fillId="0" borderId="56" xfId="4" applyFont="1" applyBorder="1" applyAlignment="1">
      <alignment horizontal="left" vertical="top" wrapText="1"/>
    </xf>
    <xf numFmtId="0" fontId="13" fillId="0" borderId="1" xfId="4" applyFont="1" applyBorder="1" applyAlignment="1">
      <alignment horizontal="left" vertical="top" wrapText="1"/>
    </xf>
    <xf numFmtId="0" fontId="13" fillId="0" borderId="0" xfId="0" applyFont="1" applyAlignment="1">
      <alignment vertical="top"/>
    </xf>
    <xf numFmtId="0" fontId="13" fillId="0" borderId="0" xfId="0" applyFont="1"/>
    <xf numFmtId="0" fontId="42" fillId="11" borderId="61" xfId="0" applyFont="1" applyFill="1" applyBorder="1" applyAlignment="1">
      <alignment vertical="top"/>
    </xf>
    <xf numFmtId="0" fontId="3" fillId="0" borderId="39" xfId="0" applyFont="1" applyBorder="1" applyAlignment="1">
      <alignment vertical="top"/>
    </xf>
    <xf numFmtId="0" fontId="3" fillId="0" borderId="65" xfId="0" applyFont="1" applyBorder="1" applyAlignment="1">
      <alignment vertical="top"/>
    </xf>
    <xf numFmtId="0" fontId="1" fillId="0" borderId="1" xfId="0" quotePrefix="1" applyFont="1" applyBorder="1" applyAlignment="1">
      <alignment horizontal="left"/>
    </xf>
    <xf numFmtId="0" fontId="64" fillId="0" borderId="1" xfId="0" applyFont="1" applyBorder="1" applyAlignment="1">
      <alignment wrapText="1"/>
    </xf>
    <xf numFmtId="0" fontId="64" fillId="0" borderId="1" xfId="0" applyFont="1" applyBorder="1" applyAlignment="1">
      <alignment vertical="top" wrapText="1"/>
    </xf>
    <xf numFmtId="0" fontId="65" fillId="0" borderId="1" xfId="0" applyFont="1" applyBorder="1" applyAlignment="1">
      <alignment wrapText="1"/>
    </xf>
    <xf numFmtId="0" fontId="64" fillId="0" borderId="0" xfId="0" applyFont="1" applyAlignment="1">
      <alignment wrapText="1"/>
    </xf>
    <xf numFmtId="0" fontId="22" fillId="12" borderId="62" xfId="4" applyFont="1" applyFill="1" applyBorder="1" applyAlignment="1">
      <alignment horizontal="left" vertical="top" wrapText="1"/>
    </xf>
    <xf numFmtId="0" fontId="22" fillId="12" borderId="58" xfId="4" applyFont="1" applyFill="1" applyBorder="1" applyAlignment="1">
      <alignment horizontal="left" vertical="top" wrapText="1"/>
    </xf>
    <xf numFmtId="0" fontId="22" fillId="0" borderId="2" xfId="4" applyFont="1" applyBorder="1" applyAlignment="1">
      <alignment horizontal="left" vertical="top" wrapText="1"/>
    </xf>
    <xf numFmtId="0" fontId="22" fillId="0" borderId="3" xfId="4" applyFont="1" applyBorder="1" applyAlignment="1">
      <alignment horizontal="left" vertical="top" wrapText="1"/>
    </xf>
    <xf numFmtId="0" fontId="22" fillId="0" borderId="62" xfId="4" applyFont="1" applyBorder="1" applyAlignment="1">
      <alignment horizontal="left" vertical="top" wrapText="1"/>
    </xf>
    <xf numFmtId="0" fontId="22" fillId="0" borderId="63" xfId="4" applyFont="1" applyBorder="1" applyAlignment="1">
      <alignment horizontal="left" vertical="top" wrapText="1"/>
    </xf>
    <xf numFmtId="0" fontId="22" fillId="0" borderId="4" xfId="4" applyFont="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22" fillId="12" borderId="63" xfId="4" applyFont="1" applyFill="1" applyBorder="1" applyAlignment="1">
      <alignment horizontal="left" vertical="top" wrapText="1"/>
    </xf>
    <xf numFmtId="0" fontId="22" fillId="12" borderId="2" xfId="4" applyFont="1" applyFill="1" applyBorder="1" applyAlignment="1">
      <alignment horizontal="left" vertical="top" wrapText="1"/>
    </xf>
    <xf numFmtId="0" fontId="22" fillId="12" borderId="4" xfId="4" applyFont="1" applyFill="1" applyBorder="1" applyAlignment="1">
      <alignment horizontal="left" vertical="top" wrapText="1"/>
    </xf>
    <xf numFmtId="0" fontId="22" fillId="12" borderId="3" xfId="4" applyFont="1" applyFill="1" applyBorder="1" applyAlignment="1">
      <alignment horizontal="left" vertical="top" wrapText="1"/>
    </xf>
    <xf numFmtId="0" fontId="22" fillId="0" borderId="58" xfId="4" applyFont="1" applyBorder="1" applyAlignment="1">
      <alignment horizontal="left" vertical="top" wrapText="1"/>
    </xf>
    <xf numFmtId="0" fontId="3" fillId="0" borderId="3" xfId="0" applyFont="1" applyBorder="1" applyAlignment="1">
      <alignment horizontal="left" vertical="top" wrapText="1"/>
    </xf>
    <xf numFmtId="0" fontId="21" fillId="8" borderId="58" xfId="4" applyFont="1" applyFill="1" applyBorder="1" applyAlignment="1">
      <alignment horizontal="center" vertical="top"/>
    </xf>
    <xf numFmtId="0" fontId="21" fillId="8" borderId="3" xfId="4" applyFont="1" applyFill="1" applyBorder="1" applyAlignment="1">
      <alignment horizontal="center" vertical="top"/>
    </xf>
    <xf numFmtId="0" fontId="30" fillId="9" borderId="56" xfId="4" applyFont="1" applyFill="1" applyBorder="1" applyAlignment="1">
      <alignment horizontal="center" vertical="top" wrapText="1"/>
    </xf>
    <xf numFmtId="0" fontId="30" fillId="9" borderId="1" xfId="4" applyFont="1" applyFill="1" applyBorder="1" applyAlignment="1">
      <alignment horizontal="center" vertical="top" wrapText="1"/>
    </xf>
    <xf numFmtId="0" fontId="24" fillId="9" borderId="56" xfId="4" applyFont="1" applyFill="1" applyBorder="1" applyAlignment="1">
      <alignment horizontal="center" vertical="top" wrapText="1"/>
    </xf>
    <xf numFmtId="0" fontId="24" fillId="9" borderId="1" xfId="4" applyFont="1" applyFill="1" applyBorder="1" applyAlignment="1">
      <alignment horizontal="center" vertical="top" wrapText="1"/>
    </xf>
    <xf numFmtId="0" fontId="3" fillId="0" borderId="1" xfId="0" applyFont="1" applyBorder="1" applyAlignment="1">
      <alignment horizontal="left" vertical="top" wrapText="1"/>
    </xf>
    <xf numFmtId="0" fontId="13" fillId="0" borderId="4" xfId="0" applyFont="1" applyBorder="1" applyAlignment="1">
      <alignment horizontal="left" vertical="top" wrapText="1"/>
    </xf>
    <xf numFmtId="0" fontId="2" fillId="0" borderId="1" xfId="0" applyFont="1" applyBorder="1" applyAlignment="1">
      <alignment horizontal="center" vertical="center"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33" fillId="6" borderId="11" xfId="0" applyFont="1" applyFill="1" applyBorder="1" applyAlignment="1">
      <alignment horizontal="left" vertical="center" wrapText="1"/>
    </xf>
    <xf numFmtId="0" fontId="33" fillId="6" borderId="8" xfId="0" applyFont="1" applyFill="1" applyBorder="1" applyAlignment="1">
      <alignment horizontal="left" vertical="center" wrapText="1"/>
    </xf>
    <xf numFmtId="0" fontId="33" fillId="6" borderId="7" xfId="0" applyFont="1" applyFill="1" applyBorder="1" applyAlignment="1">
      <alignment horizontal="left" vertical="center" wrapText="1"/>
    </xf>
    <xf numFmtId="0" fontId="33" fillId="6" borderId="13" xfId="0" applyFont="1" applyFill="1" applyBorder="1" applyAlignment="1">
      <alignment horizontal="left" vertical="center" wrapText="1"/>
    </xf>
    <xf numFmtId="0" fontId="33" fillId="6" borderId="16" xfId="0" applyFont="1" applyFill="1" applyBorder="1" applyAlignment="1">
      <alignment horizontal="left" vertical="center" wrapText="1"/>
    </xf>
    <xf numFmtId="0" fontId="33" fillId="6" borderId="18" xfId="0" applyFont="1" applyFill="1" applyBorder="1" applyAlignment="1">
      <alignment horizontal="left" vertical="center" wrapText="1"/>
    </xf>
    <xf numFmtId="0" fontId="33" fillId="0" borderId="26" xfId="0" applyFont="1" applyBorder="1" applyAlignment="1">
      <alignment horizontal="left" vertical="center" wrapText="1"/>
    </xf>
    <xf numFmtId="0" fontId="33" fillId="0" borderId="27" xfId="0" applyFont="1" applyBorder="1" applyAlignment="1">
      <alignment horizontal="left" vertical="center" wrapText="1"/>
    </xf>
    <xf numFmtId="0" fontId="33" fillId="0" borderId="28" xfId="0" applyFont="1" applyBorder="1" applyAlignment="1">
      <alignment horizontal="left" vertical="center" wrapText="1"/>
    </xf>
    <xf numFmtId="0" fontId="33" fillId="0" borderId="8" xfId="0" applyFont="1" applyBorder="1" applyAlignment="1">
      <alignment horizontal="left" vertical="center" wrapText="1"/>
    </xf>
    <xf numFmtId="0" fontId="33" fillId="6" borderId="23" xfId="0" applyFont="1" applyFill="1" applyBorder="1" applyAlignment="1">
      <alignment horizontal="left" vertical="center" wrapText="1"/>
    </xf>
    <xf numFmtId="0" fontId="33" fillId="6" borderId="24" xfId="0" applyFont="1" applyFill="1" applyBorder="1" applyAlignment="1">
      <alignment horizontal="left" vertical="center" wrapText="1"/>
    </xf>
    <xf numFmtId="0" fontId="33" fillId="6" borderId="25" xfId="0" applyFont="1" applyFill="1" applyBorder="1" applyAlignment="1">
      <alignment horizontal="left" vertical="center" wrapText="1"/>
    </xf>
    <xf numFmtId="0" fontId="33" fillId="0" borderId="21" xfId="0" applyFont="1" applyBorder="1" applyAlignment="1">
      <alignment horizontal="left" vertical="center" wrapText="1"/>
    </xf>
    <xf numFmtId="0" fontId="33" fillId="0" borderId="22" xfId="0" applyFont="1" applyBorder="1" applyAlignment="1">
      <alignment horizontal="left" vertical="center" wrapText="1"/>
    </xf>
    <xf numFmtId="0" fontId="33" fillId="0" borderId="30" xfId="0" applyFont="1" applyBorder="1" applyAlignment="1">
      <alignment horizontal="left" vertical="center" wrapText="1"/>
    </xf>
    <xf numFmtId="0" fontId="33" fillId="6" borderId="31" xfId="0" applyFont="1" applyFill="1" applyBorder="1" applyAlignment="1">
      <alignment horizontal="left" vertical="center" wrapText="1"/>
    </xf>
    <xf numFmtId="0" fontId="33" fillId="6" borderId="22" xfId="0" applyFont="1" applyFill="1" applyBorder="1" applyAlignment="1">
      <alignment horizontal="left" vertical="center" wrapText="1"/>
    </xf>
    <xf numFmtId="0" fontId="33" fillId="6" borderId="29" xfId="0" applyFont="1" applyFill="1" applyBorder="1" applyAlignment="1">
      <alignment horizontal="left" vertical="center" wrapText="1"/>
    </xf>
    <xf numFmtId="0" fontId="33" fillId="0" borderId="14" xfId="0" applyFont="1" applyBorder="1" applyAlignment="1">
      <alignment horizontal="left" vertical="center" wrapText="1"/>
    </xf>
    <xf numFmtId="0" fontId="33" fillId="0" borderId="19" xfId="0" applyFont="1" applyBorder="1" applyAlignment="1">
      <alignment horizontal="left" vertical="center" wrapText="1"/>
    </xf>
    <xf numFmtId="0" fontId="33" fillId="0" borderId="11" xfId="0" applyFont="1" applyBorder="1" applyAlignment="1">
      <alignment horizontal="left" vertical="center" wrapText="1"/>
    </xf>
    <xf numFmtId="0" fontId="33" fillId="0" borderId="7" xfId="0" applyFont="1" applyBorder="1" applyAlignment="1">
      <alignment horizontal="left" vertical="center" wrapText="1"/>
    </xf>
    <xf numFmtId="0" fontId="46" fillId="11" borderId="11" xfId="0" applyFont="1" applyFill="1" applyBorder="1" applyAlignment="1">
      <alignment horizontal="center" vertical="center" wrapText="1"/>
    </xf>
    <xf numFmtId="0" fontId="46" fillId="11" borderId="8" xfId="0" applyFont="1" applyFill="1" applyBorder="1" applyAlignment="1">
      <alignment horizontal="center" vertical="center" wrapText="1"/>
    </xf>
    <xf numFmtId="0" fontId="46" fillId="11" borderId="7" xfId="0" applyFont="1" applyFill="1" applyBorder="1" applyAlignment="1">
      <alignment horizontal="center" vertical="center" wrapText="1"/>
    </xf>
    <xf numFmtId="0" fontId="47" fillId="0" borderId="11" xfId="0" applyFont="1" applyBorder="1" applyAlignment="1">
      <alignment horizontal="left" vertical="center" wrapText="1"/>
    </xf>
    <xf numFmtId="0" fontId="47" fillId="0" borderId="8" xfId="0" applyFont="1" applyBorder="1" applyAlignment="1">
      <alignment horizontal="left" vertical="center" wrapText="1"/>
    </xf>
    <xf numFmtId="0" fontId="47" fillId="0" borderId="7" xfId="0" applyFont="1" applyBorder="1" applyAlignment="1">
      <alignment horizontal="left" vertical="center" wrapText="1"/>
    </xf>
    <xf numFmtId="0" fontId="47" fillId="0" borderId="11" xfId="0" applyFont="1" applyBorder="1" applyAlignment="1">
      <alignment horizontal="justify" vertical="center" wrapText="1"/>
    </xf>
    <xf numFmtId="0" fontId="47" fillId="0" borderId="8" xfId="0" applyFont="1" applyBorder="1" applyAlignment="1">
      <alignment horizontal="justify" vertical="center" wrapText="1"/>
    </xf>
    <xf numFmtId="0" fontId="47" fillId="0" borderId="7" xfId="0" applyFont="1" applyBorder="1" applyAlignment="1">
      <alignment horizontal="justify" vertical="center" wrapText="1"/>
    </xf>
    <xf numFmtId="0" fontId="47" fillId="4" borderId="11"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47" fillId="4" borderId="7" xfId="0" applyFont="1" applyFill="1" applyBorder="1" applyAlignment="1">
      <alignment horizontal="left" vertical="center" wrapText="1"/>
    </xf>
    <xf numFmtId="0" fontId="46" fillId="11" borderId="13" xfId="0" applyFont="1" applyFill="1" applyBorder="1" applyAlignment="1">
      <alignment horizontal="center" vertical="center" wrapText="1"/>
    </xf>
    <xf numFmtId="0" fontId="46" fillId="11" borderId="16" xfId="0" applyFont="1" applyFill="1" applyBorder="1" applyAlignment="1">
      <alignment horizontal="center" vertical="center" wrapText="1"/>
    </xf>
    <xf numFmtId="0" fontId="46" fillId="11" borderId="18" xfId="0" applyFont="1" applyFill="1" applyBorder="1" applyAlignment="1">
      <alignment horizontal="center" vertical="center" wrapText="1"/>
    </xf>
    <xf numFmtId="0" fontId="47" fillId="4" borderId="14" xfId="0" applyFont="1" applyFill="1" applyBorder="1" applyAlignment="1">
      <alignment horizontal="left" vertical="center" wrapText="1"/>
    </xf>
    <xf numFmtId="0" fontId="47" fillId="4" borderId="19" xfId="0" applyFont="1" applyFill="1" applyBorder="1" applyAlignment="1">
      <alignment horizontal="left" vertical="center" wrapText="1"/>
    </xf>
    <xf numFmtId="0" fontId="11" fillId="0" borderId="1" xfId="0" applyFont="1" applyBorder="1" applyAlignment="1">
      <alignment horizontal="center" vertical="center" wrapText="1"/>
    </xf>
    <xf numFmtId="0" fontId="25" fillId="12" borderId="34" xfId="3" applyFont="1" applyFill="1" applyBorder="1" applyAlignment="1">
      <alignment horizontal="center" vertical="center"/>
    </xf>
    <xf numFmtId="0" fontId="25" fillId="12" borderId="35" xfId="3" applyFont="1" applyFill="1" applyBorder="1" applyAlignment="1">
      <alignment horizontal="center" vertical="center"/>
    </xf>
    <xf numFmtId="0" fontId="25" fillId="12" borderId="36" xfId="3" applyFont="1" applyFill="1" applyBorder="1" applyAlignment="1">
      <alignment horizontal="center" vertical="center"/>
    </xf>
    <xf numFmtId="0" fontId="26" fillId="12" borderId="34" xfId="0" applyFont="1" applyFill="1" applyBorder="1" applyAlignment="1">
      <alignment horizontal="center" vertical="center"/>
    </xf>
    <xf numFmtId="0" fontId="26" fillId="12" borderId="35" xfId="0" applyFont="1" applyFill="1" applyBorder="1" applyAlignment="1">
      <alignment horizontal="center" vertical="center"/>
    </xf>
    <xf numFmtId="0" fontId="26" fillId="12" borderId="36" xfId="0" applyFont="1" applyFill="1" applyBorder="1" applyAlignment="1">
      <alignment horizontal="center" vertical="center"/>
    </xf>
    <xf numFmtId="0" fontId="9" fillId="12"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25" fillId="12" borderId="1" xfId="0" applyFont="1" applyFill="1" applyBorder="1" applyAlignment="1">
      <alignment horizontal="center" vertical="center"/>
    </xf>
    <xf numFmtId="0" fontId="25" fillId="12" borderId="1" xfId="3" applyFont="1" applyFill="1" applyBorder="1" applyAlignment="1">
      <alignment horizontal="center" vertical="center"/>
    </xf>
    <xf numFmtId="0" fontId="53" fillId="0" borderId="1" xfId="0" quotePrefix="1" applyFont="1" applyBorder="1" applyAlignment="1">
      <alignment horizontal="left" vertical="top" wrapText="1"/>
    </xf>
    <xf numFmtId="0" fontId="53" fillId="0" borderId="1" xfId="0" applyFont="1" applyBorder="1" applyAlignment="1">
      <alignment horizontal="left" vertical="top" wrapText="1"/>
    </xf>
  </cellXfs>
  <cellStyles count="5">
    <cellStyle name="Accent1" xfId="1" builtinId="29"/>
    <cellStyle name="Hyperlink" xfId="2" builtinId="8"/>
    <cellStyle name="Normal" xfId="0" builtinId="0"/>
    <cellStyle name="Normal 2" xfId="3"/>
    <cellStyle name="Normal_702 LAYOUT" xfId="4"/>
  </cellStyles>
  <dxfs count="8">
    <dxf>
      <font>
        <strike val="0"/>
        <outline val="0"/>
        <shadow val="0"/>
        <u val="none"/>
        <vertAlign val="baseline"/>
        <sz val="10"/>
        <name val="Aptos Narrow"/>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Narrow"/>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ptos Narrow"/>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Aptos Narrow"/>
        <scheme val="none"/>
      </font>
    </dxf>
    <dxf>
      <border>
        <bottom style="thin">
          <color indexed="64"/>
        </bottom>
      </border>
    </dxf>
    <dxf>
      <font>
        <b/>
        <strike val="0"/>
        <outline val="0"/>
        <shadow val="0"/>
        <u val="none"/>
        <vertAlign val="baseline"/>
        <sz val="10"/>
        <name val="Aptos Narrow"/>
        <scheme val="none"/>
      </font>
      <fill>
        <patternFill patternType="solid">
          <fgColor indexed="64"/>
          <bgColor theme="2" tint="-9.9978637043366805E-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id="1" name="Table11" displayName="Table11" ref="A1:C6" totalsRowShown="0" headerRowDxfId="7" dataDxfId="5" headerRowBorderDxfId="6" tableBorderDxfId="4" totalsRowBorderDxfId="3">
  <autoFilter ref="A1:C6"/>
  <sortState ref="A2:B6">
    <sortCondition ref="A5:A9"/>
  </sortState>
  <tableColumns count="3">
    <tableColumn id="1" name="Code" dataDxfId="2"/>
    <tableColumn id="2" name="Description" dataDxfId="1"/>
    <tableColumn id="3" name="Com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9"/>
  <sheetViews>
    <sheetView topLeftCell="A4" workbookViewId="0">
      <selection activeCell="A2" sqref="A2"/>
    </sheetView>
  </sheetViews>
  <sheetFormatPr defaultRowHeight="14"/>
  <cols>
    <col min="1" max="1" width="74.9140625" style="14" customWidth="1"/>
  </cols>
  <sheetData>
    <row r="1" spans="1:1" ht="28">
      <c r="A1" s="4" t="s">
        <v>65</v>
      </c>
    </row>
    <row r="2" spans="1:1" ht="56">
      <c r="A2" s="4" t="s">
        <v>66</v>
      </c>
    </row>
    <row r="3" spans="1:1" ht="28">
      <c r="A3" s="4" t="s">
        <v>67</v>
      </c>
    </row>
    <row r="4" spans="1:1" ht="42">
      <c r="A4" s="4" t="s">
        <v>68</v>
      </c>
    </row>
    <row r="5" spans="1:1" ht="28">
      <c r="A5" s="4" t="s">
        <v>211</v>
      </c>
    </row>
    <row r="6" spans="1:1">
      <c r="A6" s="4" t="s">
        <v>212</v>
      </c>
    </row>
    <row r="7" spans="1:1" ht="28">
      <c r="A7" s="4" t="s">
        <v>213</v>
      </c>
    </row>
    <row r="8" spans="1:1" ht="28">
      <c r="A8" s="4" t="s">
        <v>206</v>
      </c>
    </row>
    <row r="9" spans="1:1" ht="42">
      <c r="A9" s="14" t="s">
        <v>221</v>
      </c>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18"/>
  <sheetViews>
    <sheetView workbookViewId="0">
      <selection activeCell="C20" sqref="C20"/>
    </sheetView>
  </sheetViews>
  <sheetFormatPr defaultRowHeight="14"/>
  <cols>
    <col min="1" max="1" width="25.1640625" bestFit="1" customWidth="1"/>
  </cols>
  <sheetData>
    <row r="1" spans="1:1">
      <c r="A1" s="15" t="s">
        <v>662</v>
      </c>
    </row>
    <row r="2" spans="1:1">
      <c r="A2" s="15" t="s">
        <v>222</v>
      </c>
    </row>
    <row r="3" spans="1:1">
      <c r="A3" s="15" t="s">
        <v>223</v>
      </c>
    </row>
    <row r="4" spans="1:1">
      <c r="A4" s="15" t="s">
        <v>224</v>
      </c>
    </row>
    <row r="5" spans="1:1">
      <c r="A5" s="15" t="s">
        <v>231</v>
      </c>
    </row>
    <row r="6" spans="1:1">
      <c r="A6" s="15" t="s">
        <v>229</v>
      </c>
    </row>
    <row r="7" spans="1:1">
      <c r="A7" s="15" t="s">
        <v>225</v>
      </c>
    </row>
    <row r="8" spans="1:1">
      <c r="A8" s="15" t="s">
        <v>226</v>
      </c>
    </row>
    <row r="9" spans="1:1">
      <c r="A9" s="15" t="s">
        <v>227</v>
      </c>
    </row>
    <row r="10" spans="1:1">
      <c r="A10" s="15" t="s">
        <v>228</v>
      </c>
    </row>
    <row r="11" spans="1:1">
      <c r="A11" s="15" t="s">
        <v>696</v>
      </c>
    </row>
    <row r="12" spans="1:1">
      <c r="A12" s="15" t="s">
        <v>697</v>
      </c>
    </row>
    <row r="13" spans="1:1">
      <c r="A13" s="15" t="s">
        <v>698</v>
      </c>
    </row>
    <row r="14" spans="1:1">
      <c r="A14" s="15" t="s">
        <v>699</v>
      </c>
    </row>
    <row r="15" spans="1:1">
      <c r="A15" s="15" t="s">
        <v>700</v>
      </c>
    </row>
    <row r="16" spans="1:1">
      <c r="A16" s="15" t="s">
        <v>858</v>
      </c>
    </row>
    <row r="17" spans="1:1">
      <c r="A17" s="15" t="s">
        <v>943</v>
      </c>
    </row>
    <row r="18" spans="1:1">
      <c r="A18" s="15" t="s">
        <v>944</v>
      </c>
    </row>
  </sheetData>
  <hyperlinks>
    <hyperlink ref="A2" location="'Input Layout'!A1" display="'Input Layout'!A1"/>
    <hyperlink ref="A3" location="'Financial input'!A1" display="'Financial input'!A1"/>
    <hyperlink ref="A4" location="'Account Status'!A1" display="'Account Status'!A1"/>
    <hyperlink ref="A7" location="'Record Type'!A1" display="'Record Type'!A1"/>
    <hyperlink ref="A8" location="'Header &amp; Trailer'!A1" display="'Header &amp; Trailer'!A1"/>
    <hyperlink ref="A9" location="'Payment Type'!A1" display="'Payment Type'!A1"/>
    <hyperlink ref="A6" location="'Status code Rules'!A1" display="'Status code Rules'!A1"/>
    <hyperlink ref="A10" location="'Address Population'!A1" display="'Address Population'!A1"/>
    <hyperlink ref="A5" location="'Account Types'!A1" display="'Account Types'!A1"/>
    <hyperlink ref="A1" location="'Proposed Layout'!A1" display="'Proposed Layout'!A1"/>
    <hyperlink ref="A11" location="'Ownership Type'!A1" display="Ownership Type'!A1"/>
    <hyperlink ref="A12" location="'Repayment Frequency'!A1" display="'Repayment Frequency'!A1"/>
    <hyperlink ref="A13" location="'Loan Reason Code Botswana'!A1" display="'Loan Reason Code Botswana'!A1"/>
    <hyperlink ref="A14" location="'Status &amp; Acc Type'!A1" display="'Status &amp; Acc Type'!A1"/>
    <hyperlink ref="A15" location="'Payment Type Table'!A1" display="'Payment Type Table'!A1"/>
    <hyperlink ref="A16" location="'File Naming Conventions'!A1" display="'File Naming Conventions'!A1"/>
    <hyperlink ref="A17" location="'Income Frequency'!A1" display="'Income Frequency'!A1"/>
    <hyperlink ref="A18" location="'Title Table'!A1" display="'Title Table'!A1"/>
  </hyperlinks>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345"/>
  <sheetViews>
    <sheetView topLeftCell="A39" zoomScale="108" zoomScaleNormal="108" workbookViewId="0">
      <selection activeCell="I1" sqref="I1"/>
    </sheetView>
  </sheetViews>
  <sheetFormatPr defaultColWidth="8.83203125" defaultRowHeight="11.5"/>
  <cols>
    <col min="1" max="1" width="25.5" style="42" customWidth="1"/>
    <col min="2" max="2" width="8.4140625" style="42" customWidth="1"/>
    <col min="3" max="3" width="11.83203125" style="42" bestFit="1" customWidth="1"/>
    <col min="4" max="4" width="8.4140625" style="42" customWidth="1"/>
    <col min="5" max="5" width="15.33203125" style="42" customWidth="1"/>
    <col min="6" max="6" width="57.1640625" style="42" customWidth="1"/>
    <col min="7" max="7" width="57.6640625" style="11" customWidth="1"/>
    <col min="8" max="8" width="62" style="41" customWidth="1"/>
    <col min="9" max="9" width="46.4140625" style="11" customWidth="1"/>
    <col min="10" max="16384" width="8.83203125" style="41"/>
  </cols>
  <sheetData>
    <row r="1" spans="1:9" s="169" customFormat="1" ht="33.5" customHeight="1" thickBot="1">
      <c r="A1" s="178" t="s">
        <v>1</v>
      </c>
      <c r="B1" s="179" t="s">
        <v>134</v>
      </c>
      <c r="C1" s="179" t="s">
        <v>753</v>
      </c>
      <c r="D1" s="179" t="s">
        <v>719</v>
      </c>
      <c r="E1" s="179"/>
      <c r="F1" s="179" t="s">
        <v>872</v>
      </c>
      <c r="G1" s="180" t="s">
        <v>701</v>
      </c>
      <c r="H1" s="271" t="s">
        <v>836</v>
      </c>
      <c r="I1" s="143" t="s">
        <v>962</v>
      </c>
    </row>
    <row r="2" spans="1:9" s="42" customFormat="1">
      <c r="A2" s="294" t="s">
        <v>506</v>
      </c>
      <c r="B2" s="295"/>
      <c r="C2" s="295"/>
      <c r="D2" s="295"/>
      <c r="E2" s="295"/>
      <c r="F2" s="295"/>
      <c r="G2" s="187"/>
      <c r="H2" s="272"/>
      <c r="I2" s="9"/>
    </row>
    <row r="3" spans="1:9" s="42" customFormat="1" ht="23">
      <c r="A3" s="181" t="s">
        <v>449</v>
      </c>
      <c r="B3" s="43" t="s">
        <v>424</v>
      </c>
      <c r="C3" s="43">
        <v>1</v>
      </c>
      <c r="D3" s="43"/>
      <c r="E3" s="43" t="s">
        <v>554</v>
      </c>
      <c r="F3" s="23" t="s">
        <v>280</v>
      </c>
      <c r="G3" s="170" t="s">
        <v>551</v>
      </c>
      <c r="H3" s="170" t="s">
        <v>754</v>
      </c>
      <c r="I3" s="275"/>
    </row>
    <row r="4" spans="1:9" s="42" customFormat="1" ht="97" customHeight="1">
      <c r="A4" s="181" t="s">
        <v>483</v>
      </c>
      <c r="B4" s="43" t="s">
        <v>425</v>
      </c>
      <c r="C4" s="43">
        <v>13</v>
      </c>
      <c r="D4" s="43">
        <f>C4+C3</f>
        <v>14</v>
      </c>
      <c r="E4" s="43" t="s">
        <v>554</v>
      </c>
      <c r="F4" s="6" t="s">
        <v>243</v>
      </c>
      <c r="G4" s="170" t="s">
        <v>752</v>
      </c>
      <c r="H4" s="170" t="s">
        <v>755</v>
      </c>
      <c r="I4" s="276" t="s">
        <v>946</v>
      </c>
    </row>
    <row r="5" spans="1:9" s="42" customFormat="1" ht="24">
      <c r="A5" s="181" t="s">
        <v>441</v>
      </c>
      <c r="B5" s="43" t="s">
        <v>426</v>
      </c>
      <c r="C5" s="43">
        <v>16</v>
      </c>
      <c r="D5" s="43">
        <f>C5+D4</f>
        <v>30</v>
      </c>
      <c r="E5" s="43" t="s">
        <v>555</v>
      </c>
      <c r="F5" s="6" t="s">
        <v>244</v>
      </c>
      <c r="G5" s="170" t="s">
        <v>499</v>
      </c>
      <c r="H5" s="170" t="s">
        <v>947</v>
      </c>
      <c r="I5" s="275" t="s">
        <v>948</v>
      </c>
    </row>
    <row r="6" spans="1:9" s="269" customFormat="1" ht="34.5">
      <c r="A6" s="267" t="s">
        <v>8</v>
      </c>
      <c r="B6" s="268" t="s">
        <v>424</v>
      </c>
      <c r="C6" s="268">
        <v>1</v>
      </c>
      <c r="D6" s="268">
        <f>C6+D5</f>
        <v>31</v>
      </c>
      <c r="E6" s="268" t="s">
        <v>554</v>
      </c>
      <c r="F6" s="35" t="s">
        <v>241</v>
      </c>
      <c r="G6" s="174" t="s">
        <v>553</v>
      </c>
      <c r="H6" s="174" t="s">
        <v>756</v>
      </c>
      <c r="I6" s="277" t="s">
        <v>949</v>
      </c>
    </row>
    <row r="7" spans="1:9" s="42" customFormat="1" ht="34.5">
      <c r="A7" s="181" t="s">
        <v>10</v>
      </c>
      <c r="B7" s="43" t="s">
        <v>427</v>
      </c>
      <c r="C7" s="43">
        <v>8</v>
      </c>
      <c r="D7" s="43">
        <f>C7+D6</f>
        <v>39</v>
      </c>
      <c r="E7" s="43" t="s">
        <v>554</v>
      </c>
      <c r="F7" s="6" t="s">
        <v>242</v>
      </c>
      <c r="G7" s="170" t="s">
        <v>552</v>
      </c>
      <c r="H7" s="170" t="s">
        <v>757</v>
      </c>
      <c r="I7" s="275"/>
    </row>
    <row r="8" spans="1:9" s="42" customFormat="1" ht="12">
      <c r="A8" s="296" t="s">
        <v>507</v>
      </c>
      <c r="B8" s="297"/>
      <c r="C8" s="297"/>
      <c r="D8" s="297"/>
      <c r="E8" s="297"/>
      <c r="F8" s="297"/>
      <c r="G8" s="171"/>
      <c r="H8" s="170"/>
      <c r="I8" s="275"/>
    </row>
    <row r="9" spans="1:9" s="42" customFormat="1" ht="115">
      <c r="A9" s="181" t="s">
        <v>450</v>
      </c>
      <c r="B9" s="43" t="s">
        <v>428</v>
      </c>
      <c r="C9" s="43">
        <v>8</v>
      </c>
      <c r="D9" s="43">
        <f>C9+D7</f>
        <v>47</v>
      </c>
      <c r="E9" s="43" t="s">
        <v>556</v>
      </c>
      <c r="F9" s="6" t="s">
        <v>361</v>
      </c>
      <c r="G9" s="170"/>
      <c r="H9" s="170"/>
      <c r="I9" s="276" t="s">
        <v>950</v>
      </c>
    </row>
    <row r="10" spans="1:9" s="42" customFormat="1" ht="178.5" customHeight="1">
      <c r="A10" s="181" t="s">
        <v>451</v>
      </c>
      <c r="B10" s="43" t="s">
        <v>429</v>
      </c>
      <c r="C10" s="43">
        <v>25</v>
      </c>
      <c r="D10" s="43">
        <f>C10+D9</f>
        <v>72</v>
      </c>
      <c r="E10" s="43" t="s">
        <v>554</v>
      </c>
      <c r="F10" s="6" t="s">
        <v>261</v>
      </c>
      <c r="G10" s="170" t="s">
        <v>514</v>
      </c>
      <c r="H10" s="170" t="s">
        <v>758</v>
      </c>
      <c r="I10" s="275"/>
    </row>
    <row r="11" spans="1:9" s="42" customFormat="1" ht="115">
      <c r="A11" s="181" t="s">
        <v>363</v>
      </c>
      <c r="B11" s="43" t="s">
        <v>430</v>
      </c>
      <c r="C11" s="43">
        <v>4</v>
      </c>
      <c r="D11" s="43">
        <f>C11+D10</f>
        <v>76</v>
      </c>
      <c r="E11" s="43" t="s">
        <v>554</v>
      </c>
      <c r="F11" s="6" t="s">
        <v>361</v>
      </c>
      <c r="G11" s="170"/>
      <c r="H11" s="170"/>
      <c r="I11" s="275"/>
    </row>
    <row r="12" spans="1:9" s="42" customFormat="1" ht="12">
      <c r="A12" s="298" t="s">
        <v>508</v>
      </c>
      <c r="B12" s="299"/>
      <c r="C12" s="299"/>
      <c r="D12" s="299"/>
      <c r="E12" s="299"/>
      <c r="F12" s="299"/>
      <c r="G12" s="171"/>
      <c r="H12" s="170"/>
      <c r="I12" s="275"/>
    </row>
    <row r="13" spans="1:9" s="42" customFormat="1" ht="57.5">
      <c r="A13" s="181" t="s">
        <v>4</v>
      </c>
      <c r="B13" s="43" t="s">
        <v>429</v>
      </c>
      <c r="C13" s="43">
        <v>25</v>
      </c>
      <c r="D13" s="43">
        <f>C13+D11</f>
        <v>101</v>
      </c>
      <c r="E13" s="43" t="s">
        <v>554</v>
      </c>
      <c r="F13" s="9" t="s">
        <v>281</v>
      </c>
      <c r="G13" s="170" t="s">
        <v>515</v>
      </c>
      <c r="H13" s="170" t="s">
        <v>759</v>
      </c>
      <c r="I13" s="275"/>
    </row>
    <row r="14" spans="1:9" s="42" customFormat="1" ht="23">
      <c r="A14" s="181"/>
      <c r="B14" s="43"/>
      <c r="C14" s="43"/>
      <c r="D14" s="43"/>
      <c r="E14" s="43"/>
      <c r="F14" s="9"/>
      <c r="G14" s="170" t="s">
        <v>516</v>
      </c>
      <c r="H14" s="170" t="s">
        <v>760</v>
      </c>
      <c r="I14" s="275"/>
    </row>
    <row r="15" spans="1:9" s="42" customFormat="1" ht="12">
      <c r="A15" s="181"/>
      <c r="B15" s="43"/>
      <c r="C15" s="43"/>
      <c r="D15" s="43"/>
      <c r="E15" s="43"/>
      <c r="F15" s="9"/>
      <c r="G15" s="170" t="s">
        <v>517</v>
      </c>
      <c r="H15" s="170" t="s">
        <v>761</v>
      </c>
      <c r="I15" s="275"/>
    </row>
    <row r="16" spans="1:9" s="42" customFormat="1" ht="34.5">
      <c r="A16" s="181" t="s">
        <v>484</v>
      </c>
      <c r="B16" s="43" t="s">
        <v>431</v>
      </c>
      <c r="C16" s="43">
        <v>5</v>
      </c>
      <c r="D16" s="43">
        <f>C16+D13</f>
        <v>106</v>
      </c>
      <c r="E16" s="43" t="s">
        <v>556</v>
      </c>
      <c r="F16" s="6" t="s">
        <v>248</v>
      </c>
      <c r="G16" s="170"/>
      <c r="H16" s="170"/>
      <c r="I16" s="276"/>
    </row>
    <row r="17" spans="1:9" s="42" customFormat="1" ht="46">
      <c r="A17" s="181" t="s">
        <v>452</v>
      </c>
      <c r="B17" s="43" t="s">
        <v>432</v>
      </c>
      <c r="C17" s="43">
        <v>14</v>
      </c>
      <c r="D17" s="43">
        <f>C17+D16</f>
        <v>120</v>
      </c>
      <c r="E17" s="43" t="s">
        <v>554</v>
      </c>
      <c r="F17" s="6" t="s">
        <v>240</v>
      </c>
      <c r="G17" s="170" t="s">
        <v>518</v>
      </c>
      <c r="H17" s="170" t="s">
        <v>762</v>
      </c>
      <c r="I17" s="275"/>
    </row>
    <row r="18" spans="1:9" s="42" customFormat="1" ht="46">
      <c r="A18" s="181" t="s">
        <v>453</v>
      </c>
      <c r="B18" s="43" t="s">
        <v>432</v>
      </c>
      <c r="C18" s="43">
        <v>14</v>
      </c>
      <c r="D18" s="43">
        <f>C18+D17</f>
        <v>134</v>
      </c>
      <c r="E18" s="43" t="s">
        <v>555</v>
      </c>
      <c r="F18" s="6" t="s">
        <v>240</v>
      </c>
      <c r="G18" s="170" t="s">
        <v>518</v>
      </c>
      <c r="H18" s="170" t="s">
        <v>762</v>
      </c>
      <c r="I18" s="275"/>
    </row>
    <row r="19" spans="1:9" s="42" customFormat="1" ht="46">
      <c r="A19" s="181" t="s">
        <v>454</v>
      </c>
      <c r="B19" s="43" t="s">
        <v>432</v>
      </c>
      <c r="C19" s="43">
        <v>14</v>
      </c>
      <c r="D19" s="43">
        <f>C19+D18</f>
        <v>148</v>
      </c>
      <c r="E19" s="43" t="s">
        <v>555</v>
      </c>
      <c r="F19" s="6" t="s">
        <v>240</v>
      </c>
      <c r="G19" s="170" t="s">
        <v>518</v>
      </c>
      <c r="H19" s="170" t="s">
        <v>762</v>
      </c>
      <c r="I19" s="275"/>
    </row>
    <row r="20" spans="1:9" s="42" customFormat="1" ht="23">
      <c r="A20" s="182" t="s">
        <v>455</v>
      </c>
      <c r="B20" s="150" t="s">
        <v>429</v>
      </c>
      <c r="C20" s="150">
        <v>25</v>
      </c>
      <c r="D20" s="150">
        <f>C20+D19</f>
        <v>173</v>
      </c>
      <c r="E20" s="150" t="s">
        <v>554</v>
      </c>
      <c r="F20" s="6" t="s">
        <v>286</v>
      </c>
      <c r="G20" s="170"/>
      <c r="H20" s="170"/>
      <c r="I20" s="275"/>
    </row>
    <row r="21" spans="1:9" s="42" customFormat="1" ht="12">
      <c r="A21" s="182" t="s">
        <v>456</v>
      </c>
      <c r="B21" s="150" t="s">
        <v>429</v>
      </c>
      <c r="C21" s="150">
        <v>25</v>
      </c>
      <c r="D21" s="150">
        <f>C21+D20</f>
        <v>198</v>
      </c>
      <c r="E21" s="150" t="s">
        <v>554</v>
      </c>
      <c r="F21" s="6" t="s">
        <v>289</v>
      </c>
      <c r="G21" s="170"/>
      <c r="H21" s="170"/>
      <c r="I21" s="275"/>
    </row>
    <row r="22" spans="1:9" s="42" customFormat="1" ht="12">
      <c r="A22" s="181" t="s">
        <v>704</v>
      </c>
      <c r="B22" s="46" t="s">
        <v>429</v>
      </c>
      <c r="C22" s="46">
        <v>25</v>
      </c>
      <c r="D22" s="43">
        <f t="shared" ref="D22:D29" si="0">C22+D21</f>
        <v>223</v>
      </c>
      <c r="E22" s="46" t="s">
        <v>556</v>
      </c>
      <c r="F22" s="149" t="s">
        <v>486</v>
      </c>
      <c r="G22" s="172"/>
      <c r="H22" s="170"/>
      <c r="I22" s="275"/>
    </row>
    <row r="23" spans="1:9" s="42" customFormat="1" ht="12">
      <c r="A23" s="181" t="s">
        <v>705</v>
      </c>
      <c r="B23" s="46" t="s">
        <v>429</v>
      </c>
      <c r="C23" s="46">
        <v>25</v>
      </c>
      <c r="D23" s="43">
        <f t="shared" si="0"/>
        <v>248</v>
      </c>
      <c r="E23" s="46" t="s">
        <v>556</v>
      </c>
      <c r="F23" s="149" t="s">
        <v>487</v>
      </c>
      <c r="G23" s="172"/>
      <c r="H23" s="170"/>
      <c r="I23" s="275"/>
    </row>
    <row r="24" spans="1:9" s="42" customFormat="1" ht="12">
      <c r="A24" s="181" t="s">
        <v>457</v>
      </c>
      <c r="B24" s="43" t="s">
        <v>433</v>
      </c>
      <c r="C24" s="43">
        <v>6</v>
      </c>
      <c r="D24" s="43">
        <f t="shared" si="0"/>
        <v>254</v>
      </c>
      <c r="E24" s="43" t="s">
        <v>556</v>
      </c>
      <c r="F24" s="6" t="s">
        <v>489</v>
      </c>
      <c r="G24" s="170"/>
      <c r="H24" s="170"/>
      <c r="I24" s="275"/>
    </row>
    <row r="25" spans="1:9" s="42" customFormat="1" ht="34.5">
      <c r="A25" s="181" t="s">
        <v>20</v>
      </c>
      <c r="B25" s="43" t="s">
        <v>424</v>
      </c>
      <c r="C25" s="43">
        <v>1</v>
      </c>
      <c r="D25" s="43">
        <f t="shared" si="0"/>
        <v>255</v>
      </c>
      <c r="E25" s="43" t="s">
        <v>556</v>
      </c>
      <c r="F25" s="6" t="s">
        <v>291</v>
      </c>
      <c r="G25" s="170"/>
      <c r="H25" s="170"/>
      <c r="I25" s="275"/>
    </row>
    <row r="26" spans="1:9" s="42" customFormat="1" ht="23">
      <c r="A26" s="181" t="s">
        <v>458</v>
      </c>
      <c r="B26" s="43" t="s">
        <v>429</v>
      </c>
      <c r="C26" s="43">
        <v>25</v>
      </c>
      <c r="D26" s="43">
        <f t="shared" si="0"/>
        <v>280</v>
      </c>
      <c r="E26" s="43" t="s">
        <v>556</v>
      </c>
      <c r="F26" s="6" t="s">
        <v>490</v>
      </c>
      <c r="G26" s="170"/>
      <c r="H26" s="170"/>
      <c r="I26" s="275"/>
    </row>
    <row r="27" spans="1:9" s="42" customFormat="1" ht="12">
      <c r="A27" s="181" t="s">
        <v>459</v>
      </c>
      <c r="B27" s="43" t="s">
        <v>429</v>
      </c>
      <c r="C27" s="43">
        <v>25</v>
      </c>
      <c r="D27" s="43">
        <f t="shared" si="0"/>
        <v>305</v>
      </c>
      <c r="E27" s="43" t="s">
        <v>556</v>
      </c>
      <c r="F27" s="6" t="s">
        <v>491</v>
      </c>
      <c r="G27" s="170"/>
      <c r="H27" s="170"/>
      <c r="I27" s="275"/>
    </row>
    <row r="28" spans="1:9" s="42" customFormat="1" ht="12">
      <c r="A28" s="181" t="s">
        <v>706</v>
      </c>
      <c r="B28" s="43" t="s">
        <v>429</v>
      </c>
      <c r="C28" s="43">
        <v>25</v>
      </c>
      <c r="D28" s="43">
        <f t="shared" si="0"/>
        <v>330</v>
      </c>
      <c r="E28" s="43" t="s">
        <v>556</v>
      </c>
      <c r="F28" s="6" t="s">
        <v>289</v>
      </c>
      <c r="G28" s="170"/>
      <c r="H28" s="170"/>
      <c r="I28" s="275"/>
    </row>
    <row r="29" spans="1:9" s="42" customFormat="1" ht="12">
      <c r="A29" s="181" t="s">
        <v>707</v>
      </c>
      <c r="B29" s="43" t="s">
        <v>429</v>
      </c>
      <c r="C29" s="43">
        <v>25</v>
      </c>
      <c r="D29" s="43">
        <f t="shared" si="0"/>
        <v>355</v>
      </c>
      <c r="E29" s="43" t="s">
        <v>556</v>
      </c>
      <c r="F29" s="6" t="s">
        <v>486</v>
      </c>
      <c r="G29" s="170"/>
      <c r="H29" s="170"/>
      <c r="I29" s="275"/>
    </row>
    <row r="30" spans="1:9" s="42" customFormat="1" ht="12">
      <c r="A30" s="181" t="s">
        <v>460</v>
      </c>
      <c r="B30" s="43" t="s">
        <v>433</v>
      </c>
      <c r="C30" s="43">
        <v>6</v>
      </c>
      <c r="D30" s="43">
        <f>C30+D29</f>
        <v>361</v>
      </c>
      <c r="E30" s="43" t="s">
        <v>556</v>
      </c>
      <c r="F30" s="6" t="s">
        <v>487</v>
      </c>
      <c r="G30" s="170"/>
      <c r="H30" s="170"/>
      <c r="I30" s="275"/>
    </row>
    <row r="31" spans="1:9" s="42" customFormat="1" ht="12">
      <c r="A31" s="298" t="s">
        <v>509</v>
      </c>
      <c r="B31" s="299"/>
      <c r="C31" s="299"/>
      <c r="D31" s="299"/>
      <c r="E31" s="299"/>
      <c r="F31" s="299"/>
      <c r="G31" s="171"/>
      <c r="H31" s="170"/>
      <c r="I31" s="275"/>
    </row>
    <row r="32" spans="1:9" s="42" customFormat="1" ht="80.5">
      <c r="A32" s="181" t="s">
        <v>461</v>
      </c>
      <c r="B32" s="43" t="s">
        <v>434</v>
      </c>
      <c r="C32" s="43">
        <v>2</v>
      </c>
      <c r="D32" s="43">
        <f>C32+D30</f>
        <v>363</v>
      </c>
      <c r="E32" s="43" t="s">
        <v>554</v>
      </c>
      <c r="F32" s="9" t="s">
        <v>492</v>
      </c>
      <c r="G32" s="170" t="s">
        <v>519</v>
      </c>
      <c r="H32" s="170" t="s">
        <v>763</v>
      </c>
      <c r="I32" s="276" t="s">
        <v>951</v>
      </c>
    </row>
    <row r="33" spans="1:9" s="42" customFormat="1" ht="138">
      <c r="A33" s="181" t="s">
        <v>462</v>
      </c>
      <c r="B33" s="43" t="s">
        <v>434</v>
      </c>
      <c r="C33" s="43">
        <v>2</v>
      </c>
      <c r="D33" s="43">
        <f>C33+D32</f>
        <v>365</v>
      </c>
      <c r="E33" s="43" t="s">
        <v>554</v>
      </c>
      <c r="F33" s="9" t="s">
        <v>463</v>
      </c>
      <c r="G33" s="170" t="s">
        <v>720</v>
      </c>
      <c r="H33" s="170" t="s">
        <v>764</v>
      </c>
      <c r="I33" s="275"/>
    </row>
    <row r="34" spans="1:9" s="42" customFormat="1" ht="23">
      <c r="A34" s="181" t="s">
        <v>46</v>
      </c>
      <c r="B34" s="43" t="s">
        <v>434</v>
      </c>
      <c r="C34" s="43">
        <v>2</v>
      </c>
      <c r="D34" s="43">
        <f>C34+D33</f>
        <v>367</v>
      </c>
      <c r="E34" s="43" t="s">
        <v>554</v>
      </c>
      <c r="F34" s="44" t="s">
        <v>464</v>
      </c>
      <c r="G34" s="170" t="s">
        <v>520</v>
      </c>
      <c r="H34" s="170" t="s">
        <v>765</v>
      </c>
      <c r="I34" s="275"/>
    </row>
    <row r="35" spans="1:9" s="42" customFormat="1" ht="34.5">
      <c r="A35" s="181" t="s">
        <v>29</v>
      </c>
      <c r="B35" s="43" t="s">
        <v>434</v>
      </c>
      <c r="C35" s="43">
        <v>2</v>
      </c>
      <c r="D35" s="43">
        <f>C35+D34</f>
        <v>369</v>
      </c>
      <c r="E35" s="43" t="s">
        <v>554</v>
      </c>
      <c r="F35" s="6" t="s">
        <v>262</v>
      </c>
      <c r="G35" s="173" t="s">
        <v>500</v>
      </c>
      <c r="H35" s="170" t="s">
        <v>766</v>
      </c>
      <c r="I35" s="275"/>
    </row>
    <row r="36" spans="1:9" s="42" customFormat="1" ht="115">
      <c r="A36" s="283" t="s">
        <v>31</v>
      </c>
      <c r="B36" s="281" t="s">
        <v>427</v>
      </c>
      <c r="C36" s="281">
        <v>8</v>
      </c>
      <c r="D36" s="281">
        <f>C36+D35</f>
        <v>377</v>
      </c>
      <c r="E36" s="281" t="s">
        <v>554</v>
      </c>
      <c r="F36" s="6" t="s">
        <v>263</v>
      </c>
      <c r="G36" s="170" t="s">
        <v>521</v>
      </c>
      <c r="H36" s="170" t="s">
        <v>767</v>
      </c>
      <c r="I36" s="275"/>
    </row>
    <row r="37" spans="1:9" s="42" customFormat="1" ht="23">
      <c r="A37" s="284"/>
      <c r="B37" s="285"/>
      <c r="C37" s="285"/>
      <c r="D37" s="285"/>
      <c r="E37" s="285"/>
      <c r="F37" s="6"/>
      <c r="G37" s="170" t="s">
        <v>522</v>
      </c>
      <c r="H37" s="170" t="s">
        <v>768</v>
      </c>
      <c r="I37" s="275"/>
    </row>
    <row r="38" spans="1:9" s="42" customFormat="1" ht="23">
      <c r="A38" s="284"/>
      <c r="B38" s="285"/>
      <c r="C38" s="285"/>
      <c r="D38" s="285"/>
      <c r="E38" s="285"/>
      <c r="F38" s="6"/>
      <c r="G38" s="170" t="s">
        <v>523</v>
      </c>
      <c r="H38" s="170" t="s">
        <v>769</v>
      </c>
      <c r="I38" s="275"/>
    </row>
    <row r="39" spans="1:9" s="42" customFormat="1" ht="23">
      <c r="A39" s="284"/>
      <c r="B39" s="285"/>
      <c r="C39" s="285"/>
      <c r="D39" s="285"/>
      <c r="E39" s="285"/>
      <c r="F39" s="6"/>
      <c r="G39" s="170" t="s">
        <v>524</v>
      </c>
      <c r="H39" s="170" t="s">
        <v>770</v>
      </c>
      <c r="I39" s="275"/>
    </row>
    <row r="40" spans="1:9" s="42" customFormat="1" ht="23">
      <c r="A40" s="284"/>
      <c r="B40" s="285"/>
      <c r="C40" s="285"/>
      <c r="D40" s="285"/>
      <c r="E40" s="285"/>
      <c r="F40" s="6"/>
      <c r="G40" s="170" t="s">
        <v>525</v>
      </c>
      <c r="H40" s="170" t="s">
        <v>771</v>
      </c>
      <c r="I40" s="275"/>
    </row>
    <row r="41" spans="1:9" s="42" customFormat="1" ht="12">
      <c r="A41" s="284"/>
      <c r="B41" s="285"/>
      <c r="C41" s="285"/>
      <c r="D41" s="285"/>
      <c r="E41" s="285"/>
      <c r="F41" s="6"/>
      <c r="G41" s="170"/>
      <c r="H41" s="170"/>
      <c r="I41" s="275"/>
    </row>
    <row r="42" spans="1:9" s="42" customFormat="1" ht="23">
      <c r="A42" s="284"/>
      <c r="B42" s="285"/>
      <c r="C42" s="285"/>
      <c r="D42" s="285"/>
      <c r="E42" s="285"/>
      <c r="F42" s="6"/>
      <c r="G42" s="170" t="s">
        <v>570</v>
      </c>
      <c r="H42" s="170" t="s">
        <v>772</v>
      </c>
      <c r="I42" s="275"/>
    </row>
    <row r="43" spans="1:9" s="42" customFormat="1" ht="12">
      <c r="A43" s="284"/>
      <c r="B43" s="285"/>
      <c r="C43" s="285"/>
      <c r="D43" s="285"/>
      <c r="E43" s="285"/>
      <c r="F43" s="6"/>
      <c r="G43" s="174"/>
      <c r="H43" s="170"/>
      <c r="I43" s="275"/>
    </row>
    <row r="44" spans="1:9" s="42" customFormat="1" ht="23">
      <c r="A44" s="284"/>
      <c r="B44" s="285"/>
      <c r="C44" s="285"/>
      <c r="D44" s="285"/>
      <c r="E44" s="285"/>
      <c r="F44" s="6"/>
      <c r="G44" s="170" t="s">
        <v>571</v>
      </c>
      <c r="H44" s="170" t="s">
        <v>773</v>
      </c>
      <c r="I44" s="275"/>
    </row>
    <row r="45" spans="1:9" s="42" customFormat="1" ht="12">
      <c r="A45" s="292"/>
      <c r="B45" s="282"/>
      <c r="C45" s="282"/>
      <c r="D45" s="282"/>
      <c r="E45" s="282"/>
      <c r="F45" s="6"/>
      <c r="G45" s="170"/>
      <c r="H45" s="170"/>
      <c r="I45" s="275"/>
    </row>
    <row r="46" spans="1:9" s="42" customFormat="1" ht="23">
      <c r="A46" s="283" t="s">
        <v>465</v>
      </c>
      <c r="B46" s="281" t="s">
        <v>427</v>
      </c>
      <c r="C46" s="281">
        <v>8</v>
      </c>
      <c r="D46" s="281">
        <f>C46+D36</f>
        <v>385</v>
      </c>
      <c r="E46" s="281" t="s">
        <v>555</v>
      </c>
      <c r="F46" s="286" t="s">
        <v>366</v>
      </c>
      <c r="G46" s="170" t="s">
        <v>569</v>
      </c>
      <c r="H46" s="170" t="s">
        <v>774</v>
      </c>
      <c r="I46" s="275"/>
    </row>
    <row r="47" spans="1:9" s="42" customFormat="1" ht="23">
      <c r="A47" s="284"/>
      <c r="B47" s="285"/>
      <c r="C47" s="285"/>
      <c r="D47" s="285"/>
      <c r="E47" s="285"/>
      <c r="F47" s="287"/>
      <c r="G47" s="170" t="s">
        <v>572</v>
      </c>
      <c r="H47" s="170" t="s">
        <v>775</v>
      </c>
      <c r="I47" s="275"/>
    </row>
    <row r="48" spans="1:9" s="42" customFormat="1" ht="23">
      <c r="A48" s="292"/>
      <c r="B48" s="282"/>
      <c r="C48" s="282"/>
      <c r="D48" s="282"/>
      <c r="E48" s="282"/>
      <c r="F48" s="293"/>
      <c r="G48" s="170" t="s">
        <v>573</v>
      </c>
      <c r="H48" s="170" t="s">
        <v>776</v>
      </c>
      <c r="I48" s="275"/>
    </row>
    <row r="49" spans="1:9" s="42" customFormat="1" ht="23">
      <c r="A49" s="283" t="s">
        <v>466</v>
      </c>
      <c r="B49" s="281" t="s">
        <v>427</v>
      </c>
      <c r="C49" s="281">
        <v>8</v>
      </c>
      <c r="D49" s="281">
        <f>C49+D46</f>
        <v>393</v>
      </c>
      <c r="E49" s="281" t="s">
        <v>555</v>
      </c>
      <c r="F49" s="286" t="s">
        <v>269</v>
      </c>
      <c r="G49" s="170" t="s">
        <v>574</v>
      </c>
      <c r="H49" s="170" t="s">
        <v>777</v>
      </c>
      <c r="I49" s="275"/>
    </row>
    <row r="50" spans="1:9" s="42" customFormat="1" ht="12">
      <c r="A50" s="284"/>
      <c r="B50" s="285"/>
      <c r="C50" s="285"/>
      <c r="D50" s="285"/>
      <c r="E50" s="285"/>
      <c r="F50" s="287"/>
      <c r="G50" s="270" t="s">
        <v>953</v>
      </c>
      <c r="H50" s="170"/>
      <c r="I50" s="275" t="s">
        <v>954</v>
      </c>
    </row>
    <row r="51" spans="1:9" s="42" customFormat="1" ht="23">
      <c r="A51" s="284"/>
      <c r="B51" s="285"/>
      <c r="C51" s="285"/>
      <c r="D51" s="285"/>
      <c r="E51" s="285"/>
      <c r="F51" s="287"/>
      <c r="G51" s="170" t="s">
        <v>575</v>
      </c>
      <c r="H51" s="170" t="s">
        <v>778</v>
      </c>
      <c r="I51" s="275"/>
    </row>
    <row r="52" spans="1:9" s="42" customFormat="1" ht="12">
      <c r="A52" s="284"/>
      <c r="B52" s="285"/>
      <c r="C52" s="285"/>
      <c r="D52" s="285"/>
      <c r="E52" s="285"/>
      <c r="F52" s="287"/>
      <c r="G52" s="174"/>
      <c r="H52" s="170"/>
      <c r="I52" s="275"/>
    </row>
    <row r="53" spans="1:9" s="42" customFormat="1" ht="23">
      <c r="A53" s="284"/>
      <c r="B53" s="285"/>
      <c r="C53" s="285"/>
      <c r="D53" s="285"/>
      <c r="E53" s="285"/>
      <c r="F53" s="287"/>
      <c r="G53" s="170" t="s">
        <v>576</v>
      </c>
      <c r="H53" s="170" t="s">
        <v>779</v>
      </c>
      <c r="I53" s="275"/>
    </row>
    <row r="54" spans="1:9" s="42" customFormat="1" ht="12">
      <c r="A54" s="284"/>
      <c r="B54" s="285"/>
      <c r="C54" s="285"/>
      <c r="D54" s="285"/>
      <c r="E54" s="285"/>
      <c r="F54" s="287"/>
      <c r="G54" s="174"/>
      <c r="H54" s="170"/>
      <c r="I54" s="275"/>
    </row>
    <row r="55" spans="1:9" s="42" customFormat="1" ht="23">
      <c r="A55" s="284"/>
      <c r="B55" s="285"/>
      <c r="C55" s="285"/>
      <c r="D55" s="285"/>
      <c r="E55" s="285"/>
      <c r="F55" s="287"/>
      <c r="G55" s="170" t="s">
        <v>577</v>
      </c>
      <c r="H55" s="170" t="s">
        <v>780</v>
      </c>
      <c r="I55" s="275"/>
    </row>
    <row r="56" spans="1:9" s="42" customFormat="1" ht="12">
      <c r="A56" s="292"/>
      <c r="B56" s="282"/>
      <c r="C56" s="282"/>
      <c r="D56" s="282"/>
      <c r="E56" s="282"/>
      <c r="F56" s="293"/>
      <c r="G56" s="174"/>
      <c r="H56" s="170"/>
      <c r="I56" s="275"/>
    </row>
    <row r="57" spans="1:9" s="42" customFormat="1" ht="12">
      <c r="A57" s="283" t="s">
        <v>467</v>
      </c>
      <c r="B57" s="281" t="s">
        <v>435</v>
      </c>
      <c r="C57" s="281">
        <v>9</v>
      </c>
      <c r="D57" s="166">
        <f>C57+D49</f>
        <v>402</v>
      </c>
      <c r="E57" s="281" t="s">
        <v>554</v>
      </c>
      <c r="F57" s="286" t="s">
        <v>873</v>
      </c>
      <c r="G57" s="170" t="s">
        <v>501</v>
      </c>
      <c r="H57" s="170" t="s">
        <v>781</v>
      </c>
      <c r="I57" s="275"/>
    </row>
    <row r="58" spans="1:9" s="42" customFormat="1" ht="34.5">
      <c r="A58" s="284"/>
      <c r="B58" s="285"/>
      <c r="C58" s="285"/>
      <c r="D58" s="168"/>
      <c r="E58" s="285"/>
      <c r="F58" s="287"/>
      <c r="G58" s="170" t="s">
        <v>578</v>
      </c>
      <c r="H58" s="170" t="s">
        <v>782</v>
      </c>
      <c r="I58" s="275"/>
    </row>
    <row r="59" spans="1:9" s="42" customFormat="1" ht="23">
      <c r="A59" s="284"/>
      <c r="B59" s="285"/>
      <c r="C59" s="285"/>
      <c r="D59" s="168"/>
      <c r="E59" s="285"/>
      <c r="F59" s="287"/>
      <c r="G59" s="170" t="s">
        <v>557</v>
      </c>
      <c r="H59" s="170" t="s">
        <v>783</v>
      </c>
      <c r="I59" s="275"/>
    </row>
    <row r="60" spans="1:9" s="42" customFormat="1" ht="34.5">
      <c r="A60" s="284"/>
      <c r="B60" s="285"/>
      <c r="C60" s="285"/>
      <c r="D60" s="168"/>
      <c r="E60" s="285"/>
      <c r="F60" s="287"/>
      <c r="G60" s="174" t="s">
        <v>526</v>
      </c>
      <c r="H60" s="170" t="s">
        <v>784</v>
      </c>
      <c r="I60" s="275"/>
    </row>
    <row r="61" spans="1:9" s="42" customFormat="1" ht="23">
      <c r="A61" s="292"/>
      <c r="B61" s="282"/>
      <c r="C61" s="282"/>
      <c r="D61" s="167"/>
      <c r="E61" s="282"/>
      <c r="F61" s="293"/>
      <c r="G61" s="174" t="s">
        <v>527</v>
      </c>
      <c r="H61" s="170" t="s">
        <v>785</v>
      </c>
      <c r="I61" s="275"/>
    </row>
    <row r="62" spans="1:9" s="42" customFormat="1" ht="12">
      <c r="A62" s="283" t="s">
        <v>42</v>
      </c>
      <c r="B62" s="281" t="s">
        <v>435</v>
      </c>
      <c r="C62" s="281">
        <v>9</v>
      </c>
      <c r="D62" s="281">
        <f>C62+D57</f>
        <v>411</v>
      </c>
      <c r="E62" s="281" t="s">
        <v>555</v>
      </c>
      <c r="F62" s="286" t="s">
        <v>874</v>
      </c>
      <c r="G62" s="175" t="s">
        <v>579</v>
      </c>
      <c r="H62" s="170" t="s">
        <v>786</v>
      </c>
      <c r="I62" s="275"/>
    </row>
    <row r="63" spans="1:9" s="42" customFormat="1" ht="23">
      <c r="A63" s="284"/>
      <c r="B63" s="285"/>
      <c r="C63" s="285"/>
      <c r="D63" s="285"/>
      <c r="E63" s="285"/>
      <c r="F63" s="287"/>
      <c r="G63" s="174" t="s">
        <v>580</v>
      </c>
      <c r="H63" s="170" t="s">
        <v>787</v>
      </c>
      <c r="I63" s="275"/>
    </row>
    <row r="64" spans="1:9" s="42" customFormat="1" ht="23">
      <c r="A64" s="284"/>
      <c r="B64" s="285"/>
      <c r="C64" s="285"/>
      <c r="D64" s="285"/>
      <c r="E64" s="285"/>
      <c r="F64" s="287"/>
      <c r="G64" s="174" t="s">
        <v>581</v>
      </c>
      <c r="H64" s="170" t="s">
        <v>788</v>
      </c>
      <c r="I64" s="275"/>
    </row>
    <row r="65" spans="1:9" s="42" customFormat="1" ht="23">
      <c r="A65" s="284"/>
      <c r="B65" s="285"/>
      <c r="C65" s="285"/>
      <c r="D65" s="285"/>
      <c r="E65" s="285"/>
      <c r="F65" s="287"/>
      <c r="G65" s="174" t="s">
        <v>582</v>
      </c>
      <c r="H65" s="170" t="s">
        <v>789</v>
      </c>
      <c r="I65" s="275"/>
    </row>
    <row r="66" spans="1:9" s="42" customFormat="1" ht="23">
      <c r="A66" s="284"/>
      <c r="B66" s="285"/>
      <c r="C66" s="285"/>
      <c r="D66" s="285"/>
      <c r="E66" s="285"/>
      <c r="F66" s="287"/>
      <c r="G66" s="170" t="s">
        <v>583</v>
      </c>
      <c r="H66" s="170" t="s">
        <v>790</v>
      </c>
      <c r="I66" s="275"/>
    </row>
    <row r="67" spans="1:9" s="42" customFormat="1" ht="23">
      <c r="A67" s="284"/>
      <c r="B67" s="285"/>
      <c r="C67" s="285"/>
      <c r="D67" s="285"/>
      <c r="E67" s="285"/>
      <c r="F67" s="287"/>
      <c r="G67" s="170" t="s">
        <v>584</v>
      </c>
      <c r="H67" s="170" t="s">
        <v>791</v>
      </c>
      <c r="I67" s="275"/>
    </row>
    <row r="68" spans="1:9" s="42" customFormat="1" ht="12">
      <c r="A68" s="284"/>
      <c r="B68" s="285"/>
      <c r="C68" s="285"/>
      <c r="D68" s="285"/>
      <c r="E68" s="285"/>
      <c r="F68" s="287"/>
      <c r="G68" s="170"/>
      <c r="H68" s="170"/>
      <c r="I68" s="275"/>
    </row>
    <row r="69" spans="1:9" s="42" customFormat="1" ht="23">
      <c r="A69" s="284"/>
      <c r="B69" s="285"/>
      <c r="C69" s="285"/>
      <c r="D69" s="285"/>
      <c r="E69" s="285"/>
      <c r="F69" s="287"/>
      <c r="G69" s="170" t="s">
        <v>585</v>
      </c>
      <c r="H69" s="170" t="s">
        <v>792</v>
      </c>
      <c r="I69" s="275"/>
    </row>
    <row r="70" spans="1:9" s="42" customFormat="1" ht="23">
      <c r="A70" s="284"/>
      <c r="B70" s="285"/>
      <c r="C70" s="285"/>
      <c r="D70" s="285"/>
      <c r="E70" s="285"/>
      <c r="F70" s="287"/>
      <c r="G70" s="170" t="s">
        <v>528</v>
      </c>
      <c r="H70" s="170" t="s">
        <v>793</v>
      </c>
      <c r="I70" s="275"/>
    </row>
    <row r="71" spans="1:9" s="42" customFormat="1" ht="12">
      <c r="A71" s="292"/>
      <c r="B71" s="282"/>
      <c r="C71" s="282"/>
      <c r="D71" s="282"/>
      <c r="E71" s="282"/>
      <c r="F71" s="293"/>
      <c r="G71" s="170" t="s">
        <v>586</v>
      </c>
      <c r="H71" s="170" t="s">
        <v>794</v>
      </c>
      <c r="I71" s="275"/>
    </row>
    <row r="72" spans="1:9" s="42" customFormat="1" ht="12">
      <c r="A72" s="283" t="s">
        <v>51</v>
      </c>
      <c r="B72" s="281" t="s">
        <v>424</v>
      </c>
      <c r="C72" s="281">
        <v>1</v>
      </c>
      <c r="D72" s="281">
        <f>C72+D62</f>
        <v>412</v>
      </c>
      <c r="E72" s="281" t="s">
        <v>554</v>
      </c>
      <c r="F72" s="286" t="s">
        <v>270</v>
      </c>
      <c r="G72" s="170" t="s">
        <v>587</v>
      </c>
      <c r="H72" s="170" t="s">
        <v>795</v>
      </c>
      <c r="I72" s="275"/>
    </row>
    <row r="73" spans="1:9" s="42" customFormat="1" ht="12">
      <c r="A73" s="284"/>
      <c r="B73" s="285"/>
      <c r="C73" s="285"/>
      <c r="D73" s="285"/>
      <c r="E73" s="285"/>
      <c r="F73" s="287"/>
      <c r="G73" s="170"/>
      <c r="H73" s="170"/>
      <c r="I73" s="275"/>
    </row>
    <row r="74" spans="1:9" s="42" customFormat="1" ht="12">
      <c r="A74" s="292"/>
      <c r="B74" s="282"/>
      <c r="C74" s="282"/>
      <c r="D74" s="282"/>
      <c r="E74" s="282"/>
      <c r="F74" s="293"/>
      <c r="G74" s="130"/>
      <c r="H74" s="170"/>
      <c r="I74" s="275"/>
    </row>
    <row r="75" spans="1:9" s="42" customFormat="1" ht="46">
      <c r="A75" s="283" t="s">
        <v>52</v>
      </c>
      <c r="B75" s="281" t="s">
        <v>435</v>
      </c>
      <c r="C75" s="281">
        <v>9</v>
      </c>
      <c r="D75" s="281">
        <f>C75+D72</f>
        <v>421</v>
      </c>
      <c r="E75" s="281" t="s">
        <v>555</v>
      </c>
      <c r="F75" s="286" t="s">
        <v>875</v>
      </c>
      <c r="G75" s="174" t="s">
        <v>588</v>
      </c>
      <c r="H75" s="174" t="s">
        <v>796</v>
      </c>
      <c r="I75" s="275" t="s">
        <v>952</v>
      </c>
    </row>
    <row r="76" spans="1:9" s="42" customFormat="1" ht="23">
      <c r="A76" s="284"/>
      <c r="B76" s="285"/>
      <c r="C76" s="285"/>
      <c r="D76" s="285"/>
      <c r="E76" s="285"/>
      <c r="F76" s="287"/>
      <c r="G76" s="174" t="s">
        <v>589</v>
      </c>
      <c r="H76" s="170" t="s">
        <v>797</v>
      </c>
      <c r="I76" s="275"/>
    </row>
    <row r="77" spans="1:9" s="42" customFormat="1" ht="23">
      <c r="A77" s="284"/>
      <c r="B77" s="285"/>
      <c r="C77" s="285"/>
      <c r="D77" s="285"/>
      <c r="E77" s="285"/>
      <c r="F77" s="287"/>
      <c r="G77" s="170" t="s">
        <v>511</v>
      </c>
      <c r="H77" s="170" t="s">
        <v>798</v>
      </c>
      <c r="I77" s="275"/>
    </row>
    <row r="78" spans="1:9" s="42" customFormat="1" ht="23">
      <c r="A78" s="284"/>
      <c r="B78" s="285"/>
      <c r="C78" s="285"/>
      <c r="D78" s="285"/>
      <c r="E78" s="285"/>
      <c r="F78" s="287"/>
      <c r="G78" s="170" t="s">
        <v>512</v>
      </c>
      <c r="H78" s="170" t="s">
        <v>799</v>
      </c>
      <c r="I78" s="275"/>
    </row>
    <row r="79" spans="1:9" s="42" customFormat="1" ht="23">
      <c r="A79" s="284"/>
      <c r="B79" s="285"/>
      <c r="C79" s="285"/>
      <c r="D79" s="285"/>
      <c r="E79" s="285"/>
      <c r="F79" s="287"/>
      <c r="G79" s="170" t="s">
        <v>513</v>
      </c>
      <c r="H79" s="170" t="s">
        <v>800</v>
      </c>
      <c r="I79" s="275"/>
    </row>
    <row r="80" spans="1:9" s="42" customFormat="1" ht="12">
      <c r="A80" s="284"/>
      <c r="B80" s="285"/>
      <c r="C80" s="285"/>
      <c r="D80" s="285"/>
      <c r="E80" s="285"/>
      <c r="F80" s="287"/>
      <c r="H80" s="170"/>
      <c r="I80" s="275"/>
    </row>
    <row r="81" spans="1:9" s="42" customFormat="1" ht="12">
      <c r="A81" s="292"/>
      <c r="B81" s="282"/>
      <c r="C81" s="282"/>
      <c r="D81" s="282"/>
      <c r="E81" s="282"/>
      <c r="F81" s="293"/>
      <c r="H81" s="170"/>
      <c r="I81" s="275"/>
    </row>
    <row r="82" spans="1:9" s="42" customFormat="1" ht="23">
      <c r="A82" s="283" t="s">
        <v>43</v>
      </c>
      <c r="B82" s="281" t="s">
        <v>435</v>
      </c>
      <c r="C82" s="281">
        <v>9</v>
      </c>
      <c r="D82" s="281">
        <f>C82+D75</f>
        <v>430</v>
      </c>
      <c r="E82" s="281" t="s">
        <v>555</v>
      </c>
      <c r="F82" s="286" t="s">
        <v>876</v>
      </c>
      <c r="G82" s="170" t="s">
        <v>590</v>
      </c>
      <c r="H82" s="170" t="s">
        <v>801</v>
      </c>
      <c r="I82" s="275"/>
    </row>
    <row r="83" spans="1:9" s="42" customFormat="1" ht="23">
      <c r="A83" s="284"/>
      <c r="B83" s="285"/>
      <c r="C83" s="285"/>
      <c r="D83" s="285"/>
      <c r="E83" s="285"/>
      <c r="F83" s="287"/>
      <c r="G83" s="170" t="s">
        <v>529</v>
      </c>
      <c r="H83" s="170" t="s">
        <v>802</v>
      </c>
      <c r="I83" s="275"/>
    </row>
    <row r="84" spans="1:9" s="42" customFormat="1" ht="23">
      <c r="A84" s="284"/>
      <c r="B84" s="285"/>
      <c r="C84" s="285"/>
      <c r="D84" s="285"/>
      <c r="E84" s="285"/>
      <c r="F84" s="287"/>
      <c r="G84" s="170" t="s">
        <v>591</v>
      </c>
      <c r="H84" s="170" t="s">
        <v>803</v>
      </c>
      <c r="I84" s="275"/>
    </row>
    <row r="85" spans="1:9" s="42" customFormat="1" ht="23">
      <c r="A85" s="284"/>
      <c r="B85" s="285"/>
      <c r="C85" s="285"/>
      <c r="D85" s="285"/>
      <c r="E85" s="285"/>
      <c r="F85" s="287"/>
      <c r="G85" s="174" t="s">
        <v>592</v>
      </c>
      <c r="H85" s="170" t="s">
        <v>804</v>
      </c>
      <c r="I85" s="275"/>
    </row>
    <row r="86" spans="1:9" s="42" customFormat="1" ht="23">
      <c r="A86" s="284"/>
      <c r="B86" s="285"/>
      <c r="C86" s="285"/>
      <c r="D86" s="285"/>
      <c r="E86" s="285"/>
      <c r="F86" s="287"/>
      <c r="G86" s="174" t="s">
        <v>593</v>
      </c>
      <c r="H86" s="170" t="s">
        <v>805</v>
      </c>
      <c r="I86" s="275"/>
    </row>
    <row r="87" spans="1:9" s="42" customFormat="1" ht="23">
      <c r="A87" s="284"/>
      <c r="B87" s="285"/>
      <c r="C87" s="285"/>
      <c r="D87" s="285"/>
      <c r="E87" s="285"/>
      <c r="F87" s="287"/>
      <c r="G87" s="170" t="s">
        <v>594</v>
      </c>
      <c r="H87" s="170" t="s">
        <v>806</v>
      </c>
      <c r="I87" s="275"/>
    </row>
    <row r="88" spans="1:9" s="42" customFormat="1" ht="12">
      <c r="A88" s="292"/>
      <c r="B88" s="282"/>
      <c r="C88" s="282"/>
      <c r="D88" s="282"/>
      <c r="E88" s="282"/>
      <c r="F88" s="293"/>
      <c r="G88" s="170"/>
      <c r="H88" s="170"/>
      <c r="I88" s="275"/>
    </row>
    <row r="89" spans="1:9" s="42" customFormat="1" ht="72">
      <c r="A89" s="283" t="s">
        <v>468</v>
      </c>
      <c r="B89" s="281" t="s">
        <v>436</v>
      </c>
      <c r="C89" s="281">
        <v>2</v>
      </c>
      <c r="D89" s="281">
        <f>C89+D82</f>
        <v>432</v>
      </c>
      <c r="E89" s="281" t="s">
        <v>555</v>
      </c>
      <c r="F89" s="286" t="s">
        <v>268</v>
      </c>
      <c r="G89" s="170" t="s">
        <v>595</v>
      </c>
      <c r="H89" s="170" t="s">
        <v>807</v>
      </c>
      <c r="I89" s="275" t="s">
        <v>956</v>
      </c>
    </row>
    <row r="90" spans="1:9" s="42" customFormat="1" ht="23">
      <c r="A90" s="284"/>
      <c r="B90" s="285"/>
      <c r="C90" s="285"/>
      <c r="D90" s="285"/>
      <c r="E90" s="285"/>
      <c r="F90" s="287"/>
      <c r="G90" s="174" t="s">
        <v>596</v>
      </c>
      <c r="H90" s="170" t="s">
        <v>808</v>
      </c>
      <c r="I90" s="275"/>
    </row>
    <row r="91" spans="1:9" s="42" customFormat="1" ht="23">
      <c r="A91" s="284"/>
      <c r="B91" s="285"/>
      <c r="C91" s="285"/>
      <c r="D91" s="285"/>
      <c r="E91" s="285"/>
      <c r="F91" s="287"/>
      <c r="G91" s="170" t="s">
        <v>597</v>
      </c>
      <c r="H91" s="170" t="s">
        <v>809</v>
      </c>
      <c r="I91" s="275"/>
    </row>
    <row r="92" spans="1:9" s="42" customFormat="1" ht="23">
      <c r="A92" s="284"/>
      <c r="B92" s="285"/>
      <c r="C92" s="285"/>
      <c r="D92" s="285"/>
      <c r="E92" s="285"/>
      <c r="F92" s="287"/>
      <c r="G92" s="170" t="s">
        <v>598</v>
      </c>
      <c r="H92" s="170" t="s">
        <v>810</v>
      </c>
      <c r="I92" s="275"/>
    </row>
    <row r="93" spans="1:9" s="42" customFormat="1" ht="23">
      <c r="A93" s="284"/>
      <c r="B93" s="285"/>
      <c r="C93" s="285"/>
      <c r="D93" s="285"/>
      <c r="E93" s="285"/>
      <c r="F93" s="287"/>
      <c r="G93" s="170" t="s">
        <v>599</v>
      </c>
      <c r="H93" s="170" t="s">
        <v>811</v>
      </c>
      <c r="I93" s="275"/>
    </row>
    <row r="94" spans="1:9" s="42" customFormat="1" ht="23">
      <c r="A94" s="284"/>
      <c r="B94" s="285"/>
      <c r="C94" s="285"/>
      <c r="D94" s="285"/>
      <c r="E94" s="285"/>
      <c r="F94" s="287"/>
      <c r="G94" s="170" t="s">
        <v>600</v>
      </c>
      <c r="H94" s="170" t="s">
        <v>812</v>
      </c>
      <c r="I94" s="275"/>
    </row>
    <row r="95" spans="1:9" s="42" customFormat="1" ht="12">
      <c r="A95" s="284"/>
      <c r="B95" s="285"/>
      <c r="C95" s="285"/>
      <c r="D95" s="285"/>
      <c r="E95" s="285"/>
      <c r="F95" s="287"/>
      <c r="G95" s="175"/>
      <c r="H95" s="170"/>
      <c r="I95" s="275"/>
    </row>
    <row r="96" spans="1:9" s="42" customFormat="1" ht="43.5" customHeight="1">
      <c r="A96" s="292"/>
      <c r="B96" s="282"/>
      <c r="C96" s="282"/>
      <c r="D96" s="282"/>
      <c r="E96" s="282"/>
      <c r="F96" s="293"/>
      <c r="G96" s="175"/>
      <c r="H96" s="170"/>
      <c r="I96" s="275"/>
    </row>
    <row r="97" spans="1:9" s="42" customFormat="1" ht="138">
      <c r="A97" s="283" t="s">
        <v>53</v>
      </c>
      <c r="B97" s="281" t="s">
        <v>434</v>
      </c>
      <c r="C97" s="281">
        <v>2</v>
      </c>
      <c r="D97" s="281">
        <f>C97+D89</f>
        <v>434</v>
      </c>
      <c r="E97" s="281" t="s">
        <v>555</v>
      </c>
      <c r="F97" s="286" t="s">
        <v>271</v>
      </c>
      <c r="G97" s="176" t="s">
        <v>493</v>
      </c>
      <c r="H97" s="170"/>
      <c r="I97" s="276" t="s">
        <v>955</v>
      </c>
    </row>
    <row r="98" spans="1:9" s="42" customFormat="1" ht="23">
      <c r="A98" s="284"/>
      <c r="B98" s="285"/>
      <c r="C98" s="285"/>
      <c r="D98" s="285"/>
      <c r="E98" s="285"/>
      <c r="F98" s="287"/>
      <c r="G98" s="176" t="s">
        <v>530</v>
      </c>
      <c r="H98" s="170" t="s">
        <v>813</v>
      </c>
      <c r="I98" s="275"/>
    </row>
    <row r="99" spans="1:9" s="42" customFormat="1" ht="23">
      <c r="A99" s="284"/>
      <c r="B99" s="285"/>
      <c r="C99" s="285"/>
      <c r="D99" s="285"/>
      <c r="E99" s="285"/>
      <c r="F99" s="287"/>
      <c r="G99" s="176" t="s">
        <v>531</v>
      </c>
      <c r="H99" s="170" t="s">
        <v>814</v>
      </c>
      <c r="I99" s="275"/>
    </row>
    <row r="100" spans="1:9" s="42" customFormat="1" ht="23">
      <c r="A100" s="284"/>
      <c r="B100" s="285"/>
      <c r="C100" s="285"/>
      <c r="D100" s="285"/>
      <c r="E100" s="285"/>
      <c r="F100" s="287"/>
      <c r="G100" s="176" t="s">
        <v>532</v>
      </c>
      <c r="H100" s="170" t="s">
        <v>815</v>
      </c>
      <c r="I100" s="275"/>
    </row>
    <row r="101" spans="1:9" s="42" customFormat="1" ht="23">
      <c r="A101" s="284"/>
      <c r="B101" s="285"/>
      <c r="C101" s="285"/>
      <c r="D101" s="285"/>
      <c r="E101" s="285"/>
      <c r="F101" s="287"/>
      <c r="G101" s="176" t="s">
        <v>533</v>
      </c>
      <c r="H101" s="170" t="s">
        <v>816</v>
      </c>
      <c r="I101" s="275"/>
    </row>
    <row r="102" spans="1:9" s="42" customFormat="1" ht="23">
      <c r="A102" s="284"/>
      <c r="B102" s="285"/>
      <c r="C102" s="285"/>
      <c r="D102" s="285"/>
      <c r="E102" s="285"/>
      <c r="F102" s="287"/>
      <c r="G102" s="176" t="s">
        <v>534</v>
      </c>
      <c r="H102" s="170" t="s">
        <v>817</v>
      </c>
      <c r="I102" s="275"/>
    </row>
    <row r="103" spans="1:9" s="42" customFormat="1" ht="23">
      <c r="A103" s="284"/>
      <c r="B103" s="285"/>
      <c r="C103" s="285"/>
      <c r="D103" s="285"/>
      <c r="E103" s="285"/>
      <c r="F103" s="287"/>
      <c r="G103" s="177" t="s">
        <v>535</v>
      </c>
      <c r="H103" s="170" t="s">
        <v>818</v>
      </c>
      <c r="I103" s="275"/>
    </row>
    <row r="104" spans="1:9" s="42" customFormat="1" ht="23">
      <c r="A104" s="284"/>
      <c r="B104" s="285"/>
      <c r="C104" s="285"/>
      <c r="D104" s="282"/>
      <c r="E104" s="285"/>
      <c r="F104" s="287"/>
      <c r="G104" s="176" t="s">
        <v>606</v>
      </c>
      <c r="H104" s="170" t="s">
        <v>819</v>
      </c>
      <c r="I104" s="275"/>
    </row>
    <row r="105" spans="1:9" s="42" customFormat="1" ht="23">
      <c r="A105" s="181" t="s">
        <v>44</v>
      </c>
      <c r="B105" s="43" t="s">
        <v>436</v>
      </c>
      <c r="C105" s="43">
        <v>2</v>
      </c>
      <c r="D105" s="43">
        <f>C105+D97</f>
        <v>436</v>
      </c>
      <c r="E105" s="43" t="s">
        <v>554</v>
      </c>
      <c r="F105" s="6" t="s">
        <v>251</v>
      </c>
      <c r="G105" s="170" t="s">
        <v>607</v>
      </c>
      <c r="H105" s="170" t="s">
        <v>820</v>
      </c>
      <c r="I105" s="275"/>
    </row>
    <row r="106" spans="1:9" s="42" customFormat="1" ht="23">
      <c r="A106" s="181" t="s">
        <v>469</v>
      </c>
      <c r="B106" s="43" t="s">
        <v>437</v>
      </c>
      <c r="C106" s="43">
        <v>4</v>
      </c>
      <c r="D106" s="43">
        <f>C106+D105</f>
        <v>440</v>
      </c>
      <c r="E106" s="43" t="s">
        <v>555</v>
      </c>
      <c r="F106" s="6" t="s">
        <v>252</v>
      </c>
      <c r="G106" s="175" t="s">
        <v>608</v>
      </c>
      <c r="H106" s="170" t="s">
        <v>821</v>
      </c>
      <c r="I106" s="275"/>
    </row>
    <row r="107" spans="1:9" s="42" customFormat="1" ht="23">
      <c r="A107" s="279" t="s">
        <v>485</v>
      </c>
      <c r="B107" s="289" t="s">
        <v>427</v>
      </c>
      <c r="C107" s="289">
        <v>8</v>
      </c>
      <c r="D107" s="289">
        <f>C107+D106</f>
        <v>448</v>
      </c>
      <c r="E107" s="289" t="s">
        <v>555</v>
      </c>
      <c r="F107" s="286" t="s">
        <v>274</v>
      </c>
      <c r="G107" s="170" t="s">
        <v>609</v>
      </c>
      <c r="H107" s="170" t="s">
        <v>822</v>
      </c>
      <c r="I107" s="275"/>
    </row>
    <row r="108" spans="1:9" s="42" customFormat="1" ht="23">
      <c r="A108" s="288"/>
      <c r="B108" s="290"/>
      <c r="C108" s="290"/>
      <c r="D108" s="290"/>
      <c r="E108" s="290"/>
      <c r="F108" s="287"/>
      <c r="G108" s="170" t="s">
        <v>610</v>
      </c>
      <c r="H108" s="170" t="s">
        <v>823</v>
      </c>
      <c r="I108" s="275"/>
    </row>
    <row r="109" spans="1:9" s="42" customFormat="1" ht="12">
      <c r="A109" s="288"/>
      <c r="B109" s="290"/>
      <c r="C109" s="290"/>
      <c r="D109" s="290"/>
      <c r="E109" s="290"/>
      <c r="F109" s="287"/>
      <c r="G109" s="170"/>
      <c r="H109" s="170"/>
      <c r="I109" s="275"/>
    </row>
    <row r="110" spans="1:9" s="42" customFormat="1" ht="23">
      <c r="A110" s="288"/>
      <c r="B110" s="290"/>
      <c r="C110" s="290"/>
      <c r="D110" s="290"/>
      <c r="E110" s="290"/>
      <c r="F110" s="287"/>
      <c r="G110" s="170" t="s">
        <v>611</v>
      </c>
      <c r="H110" s="170" t="s">
        <v>824</v>
      </c>
      <c r="I110" s="275"/>
    </row>
    <row r="111" spans="1:9" s="42" customFormat="1" ht="23">
      <c r="A111" s="288"/>
      <c r="B111" s="290"/>
      <c r="C111" s="290"/>
      <c r="D111" s="290"/>
      <c r="E111" s="290"/>
      <c r="F111" s="287"/>
      <c r="G111" s="170" t="s">
        <v>612</v>
      </c>
      <c r="H111" s="170" t="s">
        <v>825</v>
      </c>
      <c r="I111" s="275"/>
    </row>
    <row r="112" spans="1:9" s="42" customFormat="1" ht="12">
      <c r="A112" s="288"/>
      <c r="B112" s="290"/>
      <c r="C112" s="290"/>
      <c r="D112" s="290"/>
      <c r="E112" s="290"/>
      <c r="F112" s="287"/>
      <c r="G112" s="170"/>
      <c r="H112" s="170"/>
      <c r="I112" s="275"/>
    </row>
    <row r="113" spans="1:9" s="42" customFormat="1" ht="23">
      <c r="A113" s="288"/>
      <c r="B113" s="290"/>
      <c r="C113" s="290"/>
      <c r="D113" s="290"/>
      <c r="E113" s="290"/>
      <c r="F113" s="287"/>
      <c r="G113" s="170" t="s">
        <v>613</v>
      </c>
      <c r="H113" s="170" t="s">
        <v>826</v>
      </c>
      <c r="I113" s="275"/>
    </row>
    <row r="114" spans="1:9" s="42" customFormat="1" ht="12">
      <c r="A114" s="288"/>
      <c r="B114" s="290"/>
      <c r="C114" s="290"/>
      <c r="D114" s="290"/>
      <c r="E114" s="290"/>
      <c r="F114" s="287"/>
      <c r="G114" s="170"/>
      <c r="H114" s="170"/>
      <c r="I114" s="275"/>
    </row>
    <row r="115" spans="1:9" s="42" customFormat="1" ht="23">
      <c r="A115" s="288"/>
      <c r="B115" s="290"/>
      <c r="C115" s="290"/>
      <c r="D115" s="290"/>
      <c r="E115" s="290"/>
      <c r="F115" s="287"/>
      <c r="G115" s="170" t="s">
        <v>614</v>
      </c>
      <c r="H115" s="170" t="s">
        <v>827</v>
      </c>
      <c r="I115" s="275"/>
    </row>
    <row r="116" spans="1:9" s="42" customFormat="1" ht="12">
      <c r="A116" s="288"/>
      <c r="B116" s="290"/>
      <c r="C116" s="290"/>
      <c r="D116" s="290"/>
      <c r="E116" s="290"/>
      <c r="F116" s="287"/>
      <c r="G116" s="170"/>
      <c r="H116" s="170"/>
      <c r="I116" s="275"/>
    </row>
    <row r="117" spans="1:9" s="42" customFormat="1" ht="23">
      <c r="A117" s="288"/>
      <c r="B117" s="290"/>
      <c r="C117" s="290"/>
      <c r="D117" s="291"/>
      <c r="E117" s="290"/>
      <c r="F117" s="287"/>
      <c r="G117" s="170" t="s">
        <v>615</v>
      </c>
      <c r="H117" s="170" t="s">
        <v>828</v>
      </c>
      <c r="I117" s="275"/>
    </row>
    <row r="118" spans="1:9" s="42" customFormat="1" ht="138">
      <c r="A118" s="181" t="s">
        <v>470</v>
      </c>
      <c r="B118" s="43" t="s">
        <v>427</v>
      </c>
      <c r="C118" s="43">
        <v>8</v>
      </c>
      <c r="D118" s="43">
        <f>C118+D107</f>
        <v>456</v>
      </c>
      <c r="E118" s="43" t="s">
        <v>556</v>
      </c>
      <c r="F118" s="9" t="s">
        <v>495</v>
      </c>
      <c r="G118" s="170" t="s">
        <v>502</v>
      </c>
      <c r="H118" s="170"/>
      <c r="I118" s="275"/>
    </row>
    <row r="119" spans="1:9" s="42" customFormat="1" ht="138">
      <c r="A119" s="181" t="s">
        <v>471</v>
      </c>
      <c r="B119" s="43" t="s">
        <v>429</v>
      </c>
      <c r="C119" s="43">
        <v>25</v>
      </c>
      <c r="D119" s="43">
        <f>C119+D118</f>
        <v>481</v>
      </c>
      <c r="E119" s="43" t="s">
        <v>556</v>
      </c>
      <c r="F119" s="9" t="s">
        <v>494</v>
      </c>
      <c r="G119" s="170" t="s">
        <v>502</v>
      </c>
      <c r="H119" s="170"/>
      <c r="I119" s="275"/>
    </row>
    <row r="120" spans="1:9" s="42" customFormat="1" ht="138">
      <c r="A120" s="181" t="s">
        <v>472</v>
      </c>
      <c r="B120" s="43" t="s">
        <v>430</v>
      </c>
      <c r="C120" s="43">
        <v>4</v>
      </c>
      <c r="D120" s="43">
        <f>C120+D119</f>
        <v>485</v>
      </c>
      <c r="E120" s="43" t="s">
        <v>556</v>
      </c>
      <c r="F120" s="9" t="s">
        <v>496</v>
      </c>
      <c r="G120" s="170" t="s">
        <v>502</v>
      </c>
      <c r="H120" s="170"/>
      <c r="I120" s="275"/>
    </row>
    <row r="121" spans="1:9" s="42" customFormat="1" ht="216" customHeight="1">
      <c r="A121" s="181" t="s">
        <v>473</v>
      </c>
      <c r="B121" s="43" t="s">
        <v>474</v>
      </c>
      <c r="C121" s="43">
        <v>10</v>
      </c>
      <c r="D121" s="43">
        <f>C121+D120</f>
        <v>495</v>
      </c>
      <c r="E121" s="43" t="s">
        <v>556</v>
      </c>
      <c r="F121" s="9" t="s">
        <v>497</v>
      </c>
      <c r="G121" s="170" t="s">
        <v>502</v>
      </c>
      <c r="H121" s="170"/>
      <c r="I121" s="275"/>
    </row>
    <row r="122" spans="1:9" s="42" customFormat="1" ht="12">
      <c r="A122" s="298" t="s">
        <v>510</v>
      </c>
      <c r="B122" s="299"/>
      <c r="C122" s="299"/>
      <c r="D122" s="299"/>
      <c r="E122" s="299"/>
      <c r="F122" s="299"/>
      <c r="G122" s="171"/>
      <c r="H122" s="170"/>
      <c r="I122" s="275"/>
    </row>
    <row r="123" spans="1:9" s="42" customFormat="1" ht="69">
      <c r="A123" s="181" t="s">
        <v>475</v>
      </c>
      <c r="B123" s="43" t="s">
        <v>476</v>
      </c>
      <c r="C123" s="43">
        <v>16</v>
      </c>
      <c r="D123" s="43">
        <f>C123+D121</f>
        <v>511</v>
      </c>
      <c r="E123" s="43" t="s">
        <v>556</v>
      </c>
      <c r="F123" s="6" t="s">
        <v>245</v>
      </c>
      <c r="G123" s="170" t="s">
        <v>621</v>
      </c>
      <c r="H123" s="170" t="s">
        <v>829</v>
      </c>
      <c r="I123" s="275"/>
    </row>
    <row r="124" spans="1:9" s="42" customFormat="1" ht="80.5">
      <c r="A124" s="181" t="s">
        <v>477</v>
      </c>
      <c r="B124" s="43" t="s">
        <v>476</v>
      </c>
      <c r="C124" s="43">
        <v>16</v>
      </c>
      <c r="D124" s="43">
        <f t="shared" ref="D124:D131" si="1">C124+D123</f>
        <v>527</v>
      </c>
      <c r="E124" s="43" t="s">
        <v>556</v>
      </c>
      <c r="F124" s="6" t="s">
        <v>245</v>
      </c>
      <c r="G124" s="170" t="s">
        <v>622</v>
      </c>
      <c r="H124" s="170" t="s">
        <v>830</v>
      </c>
      <c r="I124" s="275"/>
    </row>
    <row r="125" spans="1:9" s="42" customFormat="1" ht="69">
      <c r="A125" s="181" t="s">
        <v>478</v>
      </c>
      <c r="B125" s="43" t="s">
        <v>476</v>
      </c>
      <c r="C125" s="43">
        <v>16</v>
      </c>
      <c r="D125" s="43">
        <f t="shared" si="1"/>
        <v>543</v>
      </c>
      <c r="E125" s="43" t="s">
        <v>556</v>
      </c>
      <c r="F125" s="6" t="s">
        <v>245</v>
      </c>
      <c r="G125" s="170" t="s">
        <v>621</v>
      </c>
      <c r="H125" s="170" t="s">
        <v>829</v>
      </c>
      <c r="I125" s="275"/>
    </row>
    <row r="126" spans="1:9" s="42" customFormat="1" ht="80.5">
      <c r="A126" s="181" t="s">
        <v>479</v>
      </c>
      <c r="B126" s="43" t="s">
        <v>438</v>
      </c>
      <c r="C126" s="43">
        <v>60</v>
      </c>
      <c r="D126" s="43">
        <f t="shared" si="1"/>
        <v>603</v>
      </c>
      <c r="E126" s="43" t="s">
        <v>556</v>
      </c>
      <c r="F126" s="6" t="s">
        <v>292</v>
      </c>
      <c r="G126" s="170"/>
      <c r="H126" s="170"/>
      <c r="I126" s="275"/>
    </row>
    <row r="127" spans="1:9" s="42" customFormat="1" ht="34.5">
      <c r="A127" s="266" t="s">
        <v>25</v>
      </c>
      <c r="B127" s="265" t="s">
        <v>435</v>
      </c>
      <c r="C127" s="265">
        <v>9</v>
      </c>
      <c r="D127" s="265">
        <f t="shared" si="1"/>
        <v>612</v>
      </c>
      <c r="E127" s="265" t="s">
        <v>556</v>
      </c>
      <c r="F127" s="35" t="s">
        <v>255</v>
      </c>
      <c r="H127" s="170"/>
      <c r="I127" s="275" t="s">
        <v>957</v>
      </c>
    </row>
    <row r="128" spans="1:9" s="42" customFormat="1" ht="24">
      <c r="A128" s="181" t="s">
        <v>26</v>
      </c>
      <c r="B128" s="43" t="s">
        <v>424</v>
      </c>
      <c r="C128" s="43">
        <v>1</v>
      </c>
      <c r="D128" s="43">
        <f t="shared" si="1"/>
        <v>613</v>
      </c>
      <c r="E128" s="43" t="s">
        <v>556</v>
      </c>
      <c r="F128" s="6" t="s">
        <v>247</v>
      </c>
      <c r="G128" s="170" t="s">
        <v>503</v>
      </c>
      <c r="H128" s="170" t="s">
        <v>831</v>
      </c>
      <c r="I128" s="275" t="s">
        <v>957</v>
      </c>
    </row>
    <row r="129" spans="1:9" s="42" customFormat="1" ht="23">
      <c r="A129" s="181" t="s">
        <v>23</v>
      </c>
      <c r="B129" s="43" t="s">
        <v>439</v>
      </c>
      <c r="C129" s="43">
        <v>20</v>
      </c>
      <c r="D129" s="43">
        <f t="shared" si="1"/>
        <v>633</v>
      </c>
      <c r="E129" s="43" t="s">
        <v>556</v>
      </c>
      <c r="F129" s="6" t="s">
        <v>246</v>
      </c>
      <c r="G129" s="170"/>
      <c r="H129" s="170"/>
      <c r="I129" s="275"/>
    </row>
    <row r="130" spans="1:9" s="42" customFormat="1" ht="203" customHeight="1">
      <c r="A130" s="181" t="s">
        <v>480</v>
      </c>
      <c r="B130" s="43" t="s">
        <v>438</v>
      </c>
      <c r="C130" s="43">
        <v>60</v>
      </c>
      <c r="D130" s="43">
        <f t="shared" si="1"/>
        <v>693</v>
      </c>
      <c r="E130" s="43" t="s">
        <v>555</v>
      </c>
      <c r="F130" s="9" t="s">
        <v>504</v>
      </c>
      <c r="G130" s="170" t="s">
        <v>536</v>
      </c>
      <c r="H130" s="170" t="s">
        <v>832</v>
      </c>
      <c r="I130" s="276" t="s">
        <v>958</v>
      </c>
    </row>
    <row r="131" spans="1:9" s="42" customFormat="1" ht="193" customHeight="1">
      <c r="A131" s="279" t="s">
        <v>481</v>
      </c>
      <c r="B131" s="281" t="s">
        <v>436</v>
      </c>
      <c r="C131" s="281">
        <v>2</v>
      </c>
      <c r="D131" s="281">
        <f t="shared" si="1"/>
        <v>695</v>
      </c>
      <c r="E131" s="281" t="s">
        <v>555</v>
      </c>
      <c r="F131" s="9" t="s">
        <v>505</v>
      </c>
      <c r="G131" s="170" t="s">
        <v>537</v>
      </c>
      <c r="H131" s="170" t="s">
        <v>833</v>
      </c>
      <c r="I131" s="276" t="s">
        <v>958</v>
      </c>
    </row>
    <row r="132" spans="1:9" s="42" customFormat="1" ht="23">
      <c r="A132" s="280"/>
      <c r="B132" s="282"/>
      <c r="C132" s="282"/>
      <c r="D132" s="282"/>
      <c r="E132" s="282"/>
      <c r="F132" s="9"/>
      <c r="G132" s="170" t="s">
        <v>538</v>
      </c>
      <c r="H132" s="170" t="s">
        <v>834</v>
      </c>
      <c r="I132" s="275"/>
    </row>
    <row r="133" spans="1:9" s="42" customFormat="1" ht="92">
      <c r="A133" s="181" t="s">
        <v>482</v>
      </c>
      <c r="B133" s="43" t="s">
        <v>440</v>
      </c>
      <c r="C133" s="43">
        <v>3</v>
      </c>
      <c r="D133" s="43">
        <f>C133+D131</f>
        <v>698</v>
      </c>
      <c r="E133" s="43" t="s">
        <v>555</v>
      </c>
      <c r="F133" s="9" t="s">
        <v>498</v>
      </c>
      <c r="G133" s="170" t="s">
        <v>539</v>
      </c>
      <c r="H133" s="170" t="s">
        <v>835</v>
      </c>
      <c r="I133" s="276" t="s">
        <v>961</v>
      </c>
    </row>
    <row r="134" spans="1:9" s="42" customFormat="1" ht="12.5" thickBot="1">
      <c r="A134" s="183" t="s">
        <v>57</v>
      </c>
      <c r="B134" s="184" t="s">
        <v>434</v>
      </c>
      <c r="C134" s="184">
        <v>2</v>
      </c>
      <c r="D134" s="184">
        <f>C134+D133</f>
        <v>700</v>
      </c>
      <c r="E134" s="184"/>
      <c r="F134" s="185"/>
      <c r="G134" s="186"/>
      <c r="H134" s="273"/>
      <c r="I134" s="275"/>
    </row>
    <row r="135" spans="1:9" ht="12">
      <c r="I135" s="278"/>
    </row>
    <row r="136" spans="1:9" ht="12">
      <c r="I136" s="278"/>
    </row>
    <row r="137" spans="1:9" ht="12">
      <c r="I137" s="278"/>
    </row>
    <row r="138" spans="1:9" ht="12">
      <c r="I138" s="278"/>
    </row>
    <row r="139" spans="1:9" ht="12">
      <c r="I139" s="278"/>
    </row>
    <row r="140" spans="1:9" ht="12">
      <c r="I140" s="278"/>
    </row>
    <row r="141" spans="1:9" ht="12">
      <c r="I141" s="278"/>
    </row>
    <row r="142" spans="1:9" ht="12">
      <c r="I142" s="278"/>
    </row>
    <row r="143" spans="1:9" ht="12">
      <c r="I143" s="278"/>
    </row>
    <row r="144" spans="1:9" ht="12">
      <c r="I144" s="278"/>
    </row>
    <row r="145" spans="9:9" ht="12">
      <c r="I145" s="278"/>
    </row>
    <row r="146" spans="9:9" ht="12">
      <c r="I146" s="278"/>
    </row>
    <row r="147" spans="9:9" ht="12">
      <c r="I147" s="278"/>
    </row>
    <row r="148" spans="9:9" ht="12">
      <c r="I148" s="278"/>
    </row>
    <row r="149" spans="9:9" ht="12">
      <c r="I149" s="278"/>
    </row>
    <row r="150" spans="9:9" ht="12">
      <c r="I150" s="278"/>
    </row>
    <row r="151" spans="9:9" ht="12">
      <c r="I151" s="278"/>
    </row>
    <row r="152" spans="9:9" ht="12">
      <c r="I152" s="278"/>
    </row>
    <row r="153" spans="9:9" ht="12">
      <c r="I153" s="278"/>
    </row>
    <row r="154" spans="9:9" ht="12">
      <c r="I154" s="278"/>
    </row>
    <row r="155" spans="9:9" ht="12">
      <c r="I155" s="278"/>
    </row>
    <row r="156" spans="9:9" ht="12">
      <c r="I156" s="278"/>
    </row>
    <row r="157" spans="9:9" ht="12">
      <c r="I157" s="278"/>
    </row>
    <row r="158" spans="9:9" ht="12">
      <c r="I158" s="278"/>
    </row>
    <row r="159" spans="9:9" ht="12">
      <c r="I159" s="278"/>
    </row>
    <row r="160" spans="9:9" ht="12">
      <c r="I160" s="278"/>
    </row>
    <row r="161" spans="9:9" ht="12">
      <c r="I161" s="278"/>
    </row>
    <row r="162" spans="9:9" ht="12">
      <c r="I162" s="278"/>
    </row>
    <row r="163" spans="9:9" ht="12">
      <c r="I163" s="278"/>
    </row>
    <row r="164" spans="9:9" ht="12">
      <c r="I164" s="278"/>
    </row>
    <row r="165" spans="9:9" ht="12">
      <c r="I165" s="278"/>
    </row>
    <row r="166" spans="9:9" ht="12">
      <c r="I166" s="278"/>
    </row>
    <row r="167" spans="9:9" ht="12">
      <c r="I167" s="278"/>
    </row>
    <row r="168" spans="9:9" ht="12">
      <c r="I168" s="278"/>
    </row>
    <row r="169" spans="9:9" ht="12">
      <c r="I169" s="278"/>
    </row>
    <row r="170" spans="9:9" ht="12">
      <c r="I170" s="278"/>
    </row>
    <row r="171" spans="9:9" ht="12">
      <c r="I171" s="278"/>
    </row>
    <row r="172" spans="9:9" ht="12">
      <c r="I172" s="278"/>
    </row>
    <row r="173" spans="9:9" ht="12">
      <c r="I173" s="278"/>
    </row>
    <row r="174" spans="9:9" ht="12">
      <c r="I174" s="278"/>
    </row>
    <row r="175" spans="9:9" ht="12">
      <c r="I175" s="278"/>
    </row>
    <row r="176" spans="9:9" ht="12">
      <c r="I176" s="278"/>
    </row>
    <row r="177" spans="9:9" ht="12">
      <c r="I177" s="278"/>
    </row>
    <row r="178" spans="9:9" ht="12">
      <c r="I178" s="278"/>
    </row>
    <row r="179" spans="9:9" ht="12">
      <c r="I179" s="278"/>
    </row>
    <row r="180" spans="9:9" ht="12">
      <c r="I180" s="278"/>
    </row>
    <row r="181" spans="9:9" ht="12">
      <c r="I181" s="278"/>
    </row>
    <row r="182" spans="9:9" ht="12">
      <c r="I182" s="278"/>
    </row>
    <row r="183" spans="9:9" ht="12">
      <c r="I183" s="278"/>
    </row>
    <row r="184" spans="9:9" ht="12">
      <c r="I184" s="278"/>
    </row>
    <row r="185" spans="9:9" ht="12">
      <c r="I185" s="278"/>
    </row>
    <row r="186" spans="9:9" ht="12">
      <c r="I186" s="278"/>
    </row>
    <row r="187" spans="9:9" ht="12">
      <c r="I187" s="278"/>
    </row>
    <row r="188" spans="9:9" ht="12">
      <c r="I188" s="278"/>
    </row>
    <row r="189" spans="9:9" ht="12">
      <c r="I189" s="278"/>
    </row>
    <row r="190" spans="9:9" ht="12">
      <c r="I190" s="278"/>
    </row>
    <row r="191" spans="9:9" ht="12">
      <c r="I191" s="278"/>
    </row>
    <row r="192" spans="9:9" ht="12">
      <c r="I192" s="278"/>
    </row>
    <row r="193" spans="9:9" ht="12">
      <c r="I193" s="278"/>
    </row>
    <row r="194" spans="9:9" ht="12">
      <c r="I194" s="278"/>
    </row>
    <row r="195" spans="9:9" ht="12">
      <c r="I195" s="278"/>
    </row>
    <row r="196" spans="9:9" ht="12">
      <c r="I196" s="278"/>
    </row>
    <row r="197" spans="9:9" ht="12">
      <c r="I197" s="278"/>
    </row>
    <row r="198" spans="9:9" ht="12">
      <c r="I198" s="278"/>
    </row>
    <row r="199" spans="9:9" ht="12">
      <c r="I199" s="278"/>
    </row>
    <row r="200" spans="9:9" ht="12">
      <c r="I200" s="278"/>
    </row>
    <row r="201" spans="9:9" ht="12">
      <c r="I201" s="278"/>
    </row>
    <row r="202" spans="9:9" ht="12">
      <c r="I202" s="278"/>
    </row>
    <row r="203" spans="9:9" ht="12">
      <c r="I203" s="278"/>
    </row>
    <row r="204" spans="9:9" ht="12">
      <c r="I204" s="278"/>
    </row>
    <row r="205" spans="9:9" ht="12">
      <c r="I205" s="278"/>
    </row>
    <row r="206" spans="9:9" ht="12">
      <c r="I206" s="278"/>
    </row>
    <row r="207" spans="9:9" ht="12">
      <c r="I207" s="278"/>
    </row>
    <row r="208" spans="9:9" ht="12">
      <c r="I208" s="278"/>
    </row>
    <row r="209" spans="9:9" ht="12">
      <c r="I209" s="278"/>
    </row>
    <row r="210" spans="9:9" ht="12">
      <c r="I210" s="278"/>
    </row>
    <row r="211" spans="9:9" ht="12">
      <c r="I211" s="278"/>
    </row>
    <row r="212" spans="9:9" ht="12">
      <c r="I212" s="278"/>
    </row>
    <row r="213" spans="9:9" ht="12">
      <c r="I213" s="278"/>
    </row>
    <row r="214" spans="9:9" ht="12">
      <c r="I214" s="278"/>
    </row>
    <row r="215" spans="9:9" ht="12">
      <c r="I215" s="278"/>
    </row>
    <row r="216" spans="9:9" ht="12">
      <c r="I216" s="278"/>
    </row>
    <row r="217" spans="9:9" ht="12">
      <c r="I217" s="278"/>
    </row>
    <row r="218" spans="9:9" ht="12">
      <c r="I218" s="278"/>
    </row>
    <row r="219" spans="9:9" ht="12">
      <c r="I219" s="278"/>
    </row>
    <row r="220" spans="9:9" ht="12">
      <c r="I220" s="278"/>
    </row>
    <row r="221" spans="9:9" ht="12">
      <c r="I221" s="278"/>
    </row>
    <row r="222" spans="9:9" ht="12">
      <c r="I222" s="278"/>
    </row>
    <row r="223" spans="9:9" ht="12">
      <c r="I223" s="278"/>
    </row>
    <row r="224" spans="9:9" ht="12">
      <c r="I224" s="278"/>
    </row>
    <row r="225" spans="9:9" ht="12">
      <c r="I225" s="278"/>
    </row>
    <row r="226" spans="9:9" ht="12">
      <c r="I226" s="278"/>
    </row>
    <row r="227" spans="9:9" ht="12">
      <c r="I227" s="278"/>
    </row>
    <row r="228" spans="9:9" ht="12">
      <c r="I228" s="278"/>
    </row>
    <row r="229" spans="9:9" ht="12">
      <c r="I229" s="278"/>
    </row>
    <row r="230" spans="9:9" ht="12">
      <c r="I230" s="278"/>
    </row>
    <row r="231" spans="9:9" ht="12">
      <c r="I231" s="278"/>
    </row>
    <row r="232" spans="9:9" ht="12">
      <c r="I232" s="278"/>
    </row>
    <row r="233" spans="9:9" ht="12">
      <c r="I233" s="278"/>
    </row>
    <row r="234" spans="9:9" ht="12">
      <c r="I234" s="278"/>
    </row>
    <row r="235" spans="9:9" ht="12">
      <c r="I235" s="278"/>
    </row>
    <row r="236" spans="9:9" ht="12">
      <c r="I236" s="278"/>
    </row>
    <row r="237" spans="9:9" ht="12">
      <c r="I237" s="278"/>
    </row>
    <row r="238" spans="9:9" ht="12">
      <c r="I238" s="278"/>
    </row>
    <row r="239" spans="9:9" ht="12">
      <c r="I239" s="278"/>
    </row>
    <row r="240" spans="9:9" ht="12">
      <c r="I240" s="278"/>
    </row>
    <row r="241" spans="9:9" ht="12">
      <c r="I241" s="278"/>
    </row>
    <row r="242" spans="9:9" ht="12">
      <c r="I242" s="278"/>
    </row>
    <row r="243" spans="9:9" ht="12">
      <c r="I243" s="278"/>
    </row>
    <row r="244" spans="9:9" ht="12">
      <c r="I244" s="278"/>
    </row>
    <row r="245" spans="9:9" ht="12">
      <c r="I245" s="278"/>
    </row>
    <row r="246" spans="9:9" ht="12">
      <c r="I246" s="278"/>
    </row>
    <row r="247" spans="9:9" ht="12">
      <c r="I247" s="278"/>
    </row>
    <row r="248" spans="9:9" ht="12">
      <c r="I248" s="278"/>
    </row>
    <row r="249" spans="9:9" ht="12">
      <c r="I249" s="278"/>
    </row>
    <row r="250" spans="9:9" ht="12">
      <c r="I250" s="278"/>
    </row>
    <row r="251" spans="9:9" ht="12">
      <c r="I251" s="278"/>
    </row>
    <row r="252" spans="9:9" ht="12">
      <c r="I252" s="278"/>
    </row>
    <row r="253" spans="9:9" ht="12">
      <c r="I253" s="278"/>
    </row>
    <row r="254" spans="9:9" ht="12">
      <c r="I254" s="278"/>
    </row>
    <row r="255" spans="9:9" ht="12">
      <c r="I255" s="278"/>
    </row>
    <row r="256" spans="9:9" ht="12">
      <c r="I256" s="278"/>
    </row>
    <row r="257" spans="9:9" ht="12">
      <c r="I257" s="278"/>
    </row>
    <row r="258" spans="9:9" ht="12">
      <c r="I258" s="278"/>
    </row>
    <row r="259" spans="9:9" ht="12">
      <c r="I259" s="278"/>
    </row>
    <row r="260" spans="9:9" ht="12">
      <c r="I260" s="278"/>
    </row>
    <row r="261" spans="9:9" ht="12">
      <c r="I261" s="278"/>
    </row>
    <row r="262" spans="9:9" ht="12">
      <c r="I262" s="278"/>
    </row>
    <row r="263" spans="9:9" ht="12">
      <c r="I263" s="278"/>
    </row>
    <row r="264" spans="9:9" ht="12">
      <c r="I264" s="278"/>
    </row>
    <row r="265" spans="9:9" ht="12">
      <c r="I265" s="278"/>
    </row>
    <row r="266" spans="9:9" ht="12">
      <c r="I266" s="278"/>
    </row>
    <row r="267" spans="9:9" ht="12">
      <c r="I267" s="278"/>
    </row>
    <row r="268" spans="9:9" ht="12">
      <c r="I268" s="278"/>
    </row>
    <row r="269" spans="9:9" ht="12">
      <c r="I269" s="278"/>
    </row>
    <row r="270" spans="9:9" ht="12">
      <c r="I270" s="278"/>
    </row>
    <row r="271" spans="9:9" ht="12">
      <c r="I271" s="278"/>
    </row>
    <row r="272" spans="9:9" ht="12">
      <c r="I272" s="278"/>
    </row>
    <row r="273" spans="9:9" ht="12">
      <c r="I273" s="278"/>
    </row>
    <row r="274" spans="9:9" ht="12">
      <c r="I274" s="278"/>
    </row>
    <row r="275" spans="9:9" ht="12">
      <c r="I275" s="278"/>
    </row>
    <row r="276" spans="9:9" ht="12">
      <c r="I276" s="278"/>
    </row>
    <row r="277" spans="9:9" ht="12">
      <c r="I277" s="278"/>
    </row>
    <row r="278" spans="9:9" ht="12">
      <c r="I278" s="278"/>
    </row>
    <row r="279" spans="9:9" ht="12">
      <c r="I279" s="278"/>
    </row>
    <row r="280" spans="9:9" ht="12">
      <c r="I280" s="278"/>
    </row>
    <row r="281" spans="9:9" ht="12">
      <c r="I281" s="278"/>
    </row>
    <row r="282" spans="9:9" ht="12">
      <c r="I282" s="278"/>
    </row>
    <row r="283" spans="9:9" ht="12">
      <c r="I283" s="278"/>
    </row>
    <row r="284" spans="9:9" ht="12">
      <c r="I284" s="278"/>
    </row>
    <row r="285" spans="9:9" ht="12">
      <c r="I285" s="278"/>
    </row>
    <row r="286" spans="9:9" ht="12">
      <c r="I286" s="278"/>
    </row>
    <row r="287" spans="9:9" ht="12">
      <c r="I287" s="278"/>
    </row>
    <row r="288" spans="9:9" ht="12">
      <c r="I288" s="278"/>
    </row>
    <row r="289" spans="9:9" ht="12">
      <c r="I289" s="278"/>
    </row>
    <row r="290" spans="9:9" ht="12">
      <c r="I290" s="278"/>
    </row>
    <row r="291" spans="9:9" ht="12">
      <c r="I291" s="278"/>
    </row>
    <row r="292" spans="9:9" ht="12">
      <c r="I292" s="278"/>
    </row>
    <row r="293" spans="9:9" ht="12">
      <c r="I293" s="278"/>
    </row>
    <row r="294" spans="9:9" ht="12">
      <c r="I294" s="278"/>
    </row>
    <row r="295" spans="9:9" ht="12">
      <c r="I295" s="278"/>
    </row>
    <row r="296" spans="9:9" ht="12">
      <c r="I296" s="278"/>
    </row>
    <row r="297" spans="9:9" ht="12">
      <c r="I297" s="278"/>
    </row>
    <row r="298" spans="9:9" ht="12">
      <c r="I298" s="278"/>
    </row>
    <row r="299" spans="9:9" ht="12">
      <c r="I299" s="278"/>
    </row>
    <row r="300" spans="9:9" ht="12">
      <c r="I300" s="278"/>
    </row>
    <row r="301" spans="9:9" ht="12">
      <c r="I301" s="278"/>
    </row>
    <row r="302" spans="9:9" ht="12">
      <c r="I302" s="278"/>
    </row>
    <row r="303" spans="9:9" ht="12">
      <c r="I303" s="278"/>
    </row>
    <row r="304" spans="9:9" ht="12">
      <c r="I304" s="278"/>
    </row>
    <row r="305" spans="9:9" ht="12">
      <c r="I305" s="278"/>
    </row>
    <row r="306" spans="9:9" ht="12">
      <c r="I306" s="278"/>
    </row>
    <row r="307" spans="9:9" ht="12">
      <c r="I307" s="278"/>
    </row>
    <row r="308" spans="9:9" ht="12">
      <c r="I308" s="278"/>
    </row>
    <row r="309" spans="9:9" ht="12">
      <c r="I309" s="278"/>
    </row>
    <row r="310" spans="9:9" ht="12">
      <c r="I310" s="278"/>
    </row>
    <row r="311" spans="9:9" ht="12">
      <c r="I311" s="278"/>
    </row>
    <row r="312" spans="9:9" ht="12">
      <c r="I312" s="278"/>
    </row>
    <row r="313" spans="9:9" ht="12">
      <c r="I313" s="278"/>
    </row>
    <row r="314" spans="9:9" ht="12">
      <c r="I314" s="278"/>
    </row>
    <row r="315" spans="9:9" ht="12">
      <c r="I315" s="278"/>
    </row>
    <row r="316" spans="9:9" ht="12">
      <c r="I316" s="278"/>
    </row>
    <row r="317" spans="9:9" ht="12">
      <c r="I317" s="278"/>
    </row>
    <row r="318" spans="9:9" ht="12">
      <c r="I318" s="278"/>
    </row>
    <row r="319" spans="9:9" ht="12">
      <c r="I319" s="278"/>
    </row>
    <row r="320" spans="9:9" ht="12">
      <c r="I320" s="278"/>
    </row>
    <row r="321" spans="9:9" ht="12">
      <c r="I321" s="278"/>
    </row>
    <row r="322" spans="9:9" ht="12">
      <c r="I322" s="278"/>
    </row>
    <row r="323" spans="9:9" ht="12">
      <c r="I323" s="278"/>
    </row>
    <row r="324" spans="9:9" ht="12">
      <c r="I324" s="278"/>
    </row>
    <row r="325" spans="9:9" ht="12">
      <c r="I325" s="278"/>
    </row>
    <row r="326" spans="9:9" ht="12">
      <c r="I326" s="278"/>
    </row>
    <row r="327" spans="9:9" ht="12">
      <c r="I327" s="278"/>
    </row>
    <row r="328" spans="9:9" ht="12">
      <c r="I328" s="278"/>
    </row>
    <row r="329" spans="9:9" ht="12">
      <c r="I329" s="278"/>
    </row>
    <row r="330" spans="9:9" ht="12">
      <c r="I330" s="278"/>
    </row>
    <row r="331" spans="9:9" ht="12">
      <c r="I331" s="278"/>
    </row>
    <row r="332" spans="9:9" ht="12">
      <c r="I332" s="278"/>
    </row>
    <row r="333" spans="9:9" ht="12">
      <c r="I333" s="278"/>
    </row>
    <row r="334" spans="9:9" ht="12">
      <c r="I334" s="278"/>
    </row>
    <row r="335" spans="9:9" ht="12">
      <c r="I335" s="278"/>
    </row>
    <row r="336" spans="9:9" ht="12">
      <c r="I336" s="278"/>
    </row>
    <row r="337" spans="9:9" ht="12">
      <c r="I337" s="278"/>
    </row>
    <row r="338" spans="9:9" ht="12">
      <c r="I338" s="278"/>
    </row>
    <row r="339" spans="9:9" ht="12">
      <c r="I339" s="278"/>
    </row>
    <row r="340" spans="9:9" ht="12">
      <c r="I340" s="278"/>
    </row>
    <row r="341" spans="9:9" ht="12">
      <c r="I341" s="278"/>
    </row>
    <row r="342" spans="9:9" ht="12">
      <c r="I342" s="278"/>
    </row>
    <row r="343" spans="9:9" ht="12">
      <c r="I343" s="278"/>
    </row>
    <row r="344" spans="9:9" ht="12">
      <c r="I344" s="278"/>
    </row>
    <row r="345" spans="9:9" ht="12">
      <c r="I345" s="278"/>
    </row>
  </sheetData>
  <autoFilter ref="A1:H134"/>
  <mergeCells count="74">
    <mergeCell ref="D36:D45"/>
    <mergeCell ref="D46:D48"/>
    <mergeCell ref="D49:D56"/>
    <mergeCell ref="D75:D81"/>
    <mergeCell ref="D72:D74"/>
    <mergeCell ref="C36:C45"/>
    <mergeCell ref="C46:C48"/>
    <mergeCell ref="C49:C56"/>
    <mergeCell ref="C57:C61"/>
    <mergeCell ref="C62:C71"/>
    <mergeCell ref="A2:F2"/>
    <mergeCell ref="A8:F8"/>
    <mergeCell ref="A12:F12"/>
    <mergeCell ref="A31:F31"/>
    <mergeCell ref="A122:F122"/>
    <mergeCell ref="A36:A45"/>
    <mergeCell ref="B36:B45"/>
    <mergeCell ref="E36:E45"/>
    <mergeCell ref="A46:A48"/>
    <mergeCell ref="B46:B48"/>
    <mergeCell ref="E46:E48"/>
    <mergeCell ref="F46:F48"/>
    <mergeCell ref="A49:A56"/>
    <mergeCell ref="B49:B56"/>
    <mergeCell ref="E49:E56"/>
    <mergeCell ref="F49:F56"/>
    <mergeCell ref="A57:A61"/>
    <mergeCell ref="E57:E61"/>
    <mergeCell ref="B57:B61"/>
    <mergeCell ref="F57:F61"/>
    <mergeCell ref="A62:A71"/>
    <mergeCell ref="B62:B71"/>
    <mergeCell ref="E62:E71"/>
    <mergeCell ref="F62:F71"/>
    <mergeCell ref="D62:D71"/>
    <mergeCell ref="A72:A74"/>
    <mergeCell ref="B72:B74"/>
    <mergeCell ref="E72:E74"/>
    <mergeCell ref="F72:F74"/>
    <mergeCell ref="A75:A81"/>
    <mergeCell ref="B75:B81"/>
    <mergeCell ref="E75:E81"/>
    <mergeCell ref="F75:F81"/>
    <mergeCell ref="C72:C74"/>
    <mergeCell ref="C75:C81"/>
    <mergeCell ref="A82:A88"/>
    <mergeCell ref="B82:B88"/>
    <mergeCell ref="E82:E88"/>
    <mergeCell ref="F82:F88"/>
    <mergeCell ref="A89:A96"/>
    <mergeCell ref="B89:B96"/>
    <mergeCell ref="E89:E96"/>
    <mergeCell ref="F89:F96"/>
    <mergeCell ref="C82:C88"/>
    <mergeCell ref="C89:C96"/>
    <mergeCell ref="D82:D88"/>
    <mergeCell ref="D89:D96"/>
    <mergeCell ref="F97:F104"/>
    <mergeCell ref="A107:A117"/>
    <mergeCell ref="B107:B117"/>
    <mergeCell ref="E107:E117"/>
    <mergeCell ref="F107:F117"/>
    <mergeCell ref="C97:C104"/>
    <mergeCell ref="C107:C117"/>
    <mergeCell ref="D107:D117"/>
    <mergeCell ref="D97:D104"/>
    <mergeCell ref="A131:A132"/>
    <mergeCell ref="B131:B132"/>
    <mergeCell ref="E131:E132"/>
    <mergeCell ref="A97:A104"/>
    <mergeCell ref="B97:B104"/>
    <mergeCell ref="E97:E104"/>
    <mergeCell ref="C131:C132"/>
    <mergeCell ref="D131:D132"/>
  </mergeCells>
  <phoneticPr fontId="19" type="noConversion"/>
  <pageMargins left="0.7" right="0.7" top="0.75" bottom="0.75" header="0.3" footer="0.3"/>
  <pageSetup orientation="portrait" r:id="rId1"/>
  <headerFooter>
    <oddHeader>&amp;C&amp;"Calibri"&amp;13&amp;K000000 TransUnion - Internal&amp;1#_x000D_</oddHeader>
    <oddFooter>&amp;C_x000D_&amp;1#&amp;"Calibri"&amp;13&amp;K000000 TransUnion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68"/>
  <sheetViews>
    <sheetView workbookViewId="0">
      <pane xSplit="4" topLeftCell="E1" activePane="topRight" state="frozen"/>
      <selection pane="topRight" activeCell="B45" sqref="B1:B1048576"/>
    </sheetView>
  </sheetViews>
  <sheetFormatPr defaultRowHeight="14"/>
  <cols>
    <col min="1" max="1" width="27.1640625" style="2" customWidth="1"/>
    <col min="2" max="2" width="27.83203125" style="4" bestFit="1" customWidth="1"/>
    <col min="3" max="3" width="6.9140625" style="2" customWidth="1"/>
    <col min="4" max="4" width="12.4140625" style="2" customWidth="1"/>
    <col min="5" max="5" width="38" style="11" customWidth="1"/>
    <col min="6" max="6" width="49.5" style="10" customWidth="1"/>
  </cols>
  <sheetData>
    <row r="1" spans="1:6" s="18" customFormat="1" ht="24" customHeight="1">
      <c r="A1" s="21" t="s">
        <v>0</v>
      </c>
      <c r="B1" s="21" t="s">
        <v>1</v>
      </c>
      <c r="C1" s="22" t="s">
        <v>209</v>
      </c>
      <c r="D1" s="22" t="s">
        <v>210</v>
      </c>
      <c r="E1" s="37" t="s">
        <v>253</v>
      </c>
      <c r="F1" s="38" t="s">
        <v>254</v>
      </c>
    </row>
    <row r="2" spans="1:6" s="18" customFormat="1" ht="26" customHeight="1">
      <c r="A2" s="304" t="s">
        <v>2</v>
      </c>
      <c r="B2" s="304"/>
      <c r="C2" s="24"/>
      <c r="D2" s="24"/>
      <c r="E2" s="6"/>
      <c r="F2" s="6"/>
    </row>
    <row r="3" spans="1:6" s="18" customFormat="1" ht="26.5" customHeight="1">
      <c r="A3" s="27" t="s">
        <v>3</v>
      </c>
      <c r="B3" s="27" t="s">
        <v>279</v>
      </c>
      <c r="C3" s="28">
        <v>1</v>
      </c>
      <c r="D3" s="28" t="s">
        <v>142</v>
      </c>
      <c r="E3" s="23" t="s">
        <v>272</v>
      </c>
      <c r="F3" s="23" t="s">
        <v>280</v>
      </c>
    </row>
    <row r="4" spans="1:6" s="18" customFormat="1" ht="57.5">
      <c r="A4" s="5" t="s">
        <v>3</v>
      </c>
      <c r="B4" s="5" t="s">
        <v>4</v>
      </c>
      <c r="C4" s="17">
        <v>25</v>
      </c>
      <c r="D4" s="17" t="s">
        <v>142</v>
      </c>
      <c r="E4" s="6"/>
      <c r="F4" s="9" t="s">
        <v>281</v>
      </c>
    </row>
    <row r="5" spans="1:6" s="18" customFormat="1" ht="46">
      <c r="A5" s="5" t="s">
        <v>3</v>
      </c>
      <c r="B5" s="5" t="s">
        <v>5</v>
      </c>
      <c r="C5" s="17">
        <v>25</v>
      </c>
      <c r="D5" s="17" t="s">
        <v>142</v>
      </c>
      <c r="E5" s="6" t="s">
        <v>207</v>
      </c>
      <c r="F5" s="6" t="s">
        <v>240</v>
      </c>
    </row>
    <row r="6" spans="1:6" s="18" customFormat="1" ht="34.5">
      <c r="A6" s="5" t="s">
        <v>3</v>
      </c>
      <c r="B6" s="5" t="s">
        <v>6</v>
      </c>
      <c r="C6" s="17">
        <v>5</v>
      </c>
      <c r="D6" s="17" t="s">
        <v>142</v>
      </c>
      <c r="E6" s="6"/>
      <c r="F6" s="6" t="s">
        <v>248</v>
      </c>
    </row>
    <row r="7" spans="1:6" s="18" customFormat="1" ht="23">
      <c r="A7" s="5" t="s">
        <v>3</v>
      </c>
      <c r="B7" s="5" t="s">
        <v>7</v>
      </c>
      <c r="C7" s="17">
        <v>8</v>
      </c>
      <c r="D7" s="17" t="s">
        <v>142</v>
      </c>
      <c r="E7" s="6" t="s">
        <v>69</v>
      </c>
      <c r="F7" s="6" t="s">
        <v>236</v>
      </c>
    </row>
    <row r="8" spans="1:6" s="18" customFormat="1" ht="34.5">
      <c r="A8" s="5" t="s">
        <v>3</v>
      </c>
      <c r="B8" s="5" t="s">
        <v>8</v>
      </c>
      <c r="C8" s="17">
        <v>1</v>
      </c>
      <c r="D8" s="17" t="s">
        <v>142</v>
      </c>
      <c r="E8" s="6"/>
      <c r="F8" s="6" t="s">
        <v>241</v>
      </c>
    </row>
    <row r="9" spans="1:6" s="18" customFormat="1">
      <c r="A9" s="5" t="s">
        <v>3</v>
      </c>
      <c r="B9" s="5" t="s">
        <v>9</v>
      </c>
      <c r="C9" s="17">
        <v>25</v>
      </c>
      <c r="D9" s="17" t="s">
        <v>142</v>
      </c>
      <c r="E9" s="6"/>
      <c r="F9" s="6" t="s">
        <v>237</v>
      </c>
    </row>
    <row r="10" spans="1:6" s="18" customFormat="1" ht="34.5">
      <c r="A10" s="5" t="s">
        <v>3</v>
      </c>
      <c r="B10" s="5" t="s">
        <v>10</v>
      </c>
      <c r="C10" s="17">
        <v>8</v>
      </c>
      <c r="D10" s="17" t="s">
        <v>156</v>
      </c>
      <c r="E10" s="6"/>
      <c r="F10" s="6" t="s">
        <v>242</v>
      </c>
    </row>
    <row r="11" spans="1:6" s="18" customFormat="1" ht="23">
      <c r="A11" s="5" t="s">
        <v>3</v>
      </c>
      <c r="B11" s="5" t="s">
        <v>11</v>
      </c>
      <c r="C11" s="17">
        <v>13</v>
      </c>
      <c r="D11" s="17" t="s">
        <v>156</v>
      </c>
      <c r="E11" s="6"/>
      <c r="F11" s="6" t="s">
        <v>243</v>
      </c>
    </row>
    <row r="12" spans="1:6" s="18" customFormat="1" ht="23">
      <c r="A12" s="5" t="s">
        <v>3</v>
      </c>
      <c r="B12" s="5" t="s">
        <v>12</v>
      </c>
      <c r="C12" s="17">
        <v>16</v>
      </c>
      <c r="D12" s="17" t="s">
        <v>142</v>
      </c>
      <c r="E12" s="6"/>
      <c r="F12" s="6" t="s">
        <v>244</v>
      </c>
    </row>
    <row r="13" spans="1:6" s="18" customFormat="1" ht="46">
      <c r="A13" s="5" t="s">
        <v>3</v>
      </c>
      <c r="B13" s="5" t="s">
        <v>13</v>
      </c>
      <c r="C13" s="17">
        <v>16</v>
      </c>
      <c r="D13" s="17" t="s">
        <v>156</v>
      </c>
      <c r="E13" s="300" t="s">
        <v>60</v>
      </c>
      <c r="F13" s="6" t="s">
        <v>245</v>
      </c>
    </row>
    <row r="14" spans="1:6" s="18" customFormat="1" ht="46">
      <c r="A14" s="5" t="s">
        <v>3</v>
      </c>
      <c r="B14" s="5" t="s">
        <v>14</v>
      </c>
      <c r="C14" s="17">
        <v>16</v>
      </c>
      <c r="D14" s="17" t="s">
        <v>156</v>
      </c>
      <c r="E14" s="300"/>
      <c r="F14" s="6" t="s">
        <v>245</v>
      </c>
    </row>
    <row r="15" spans="1:6" s="18" customFormat="1" ht="46">
      <c r="A15" s="5" t="s">
        <v>3</v>
      </c>
      <c r="B15" s="5" t="s">
        <v>15</v>
      </c>
      <c r="C15" s="17">
        <v>16</v>
      </c>
      <c r="D15" s="17" t="s">
        <v>156</v>
      </c>
      <c r="E15" s="300"/>
      <c r="F15" s="6" t="s">
        <v>245</v>
      </c>
    </row>
    <row r="16" spans="1:6" s="18" customFormat="1" ht="34.5">
      <c r="A16" s="5" t="s">
        <v>3</v>
      </c>
      <c r="B16" s="5" t="s">
        <v>16</v>
      </c>
      <c r="C16" s="17"/>
      <c r="D16" s="17"/>
      <c r="E16" s="300"/>
      <c r="F16" s="6" t="s">
        <v>282</v>
      </c>
    </row>
    <row r="17" spans="1:6" s="18" customFormat="1">
      <c r="A17" s="304" t="s">
        <v>17</v>
      </c>
      <c r="B17" s="304"/>
      <c r="C17" s="24"/>
      <c r="D17" s="24"/>
      <c r="E17" s="6"/>
      <c r="F17" s="6"/>
    </row>
    <row r="18" spans="1:6" s="18" customFormat="1" ht="23">
      <c r="A18" s="21" t="s">
        <v>3</v>
      </c>
      <c r="B18" s="21" t="s">
        <v>18</v>
      </c>
      <c r="C18" s="22">
        <v>25</v>
      </c>
      <c r="D18" s="22" t="s">
        <v>142</v>
      </c>
      <c r="E18" s="23" t="s">
        <v>239</v>
      </c>
      <c r="F18" s="6" t="s">
        <v>286</v>
      </c>
    </row>
    <row r="19" spans="1:6" s="18" customFormat="1">
      <c r="A19" s="21" t="s">
        <v>3</v>
      </c>
      <c r="B19" s="21" t="s">
        <v>19</v>
      </c>
      <c r="C19" s="22">
        <v>25</v>
      </c>
      <c r="D19" s="22" t="s">
        <v>142</v>
      </c>
      <c r="E19" s="23" t="s">
        <v>405</v>
      </c>
      <c r="F19" s="6" t="s">
        <v>289</v>
      </c>
    </row>
    <row r="20" spans="1:6" s="18" customFormat="1">
      <c r="A20" s="21"/>
      <c r="B20" s="21"/>
      <c r="C20" s="22">
        <v>25</v>
      </c>
      <c r="D20" s="22" t="s">
        <v>142</v>
      </c>
      <c r="E20" s="23" t="s">
        <v>406</v>
      </c>
      <c r="F20" s="6" t="s">
        <v>290</v>
      </c>
    </row>
    <row r="21" spans="1:6" s="18" customFormat="1">
      <c r="A21" s="21"/>
      <c r="B21" s="21" t="s">
        <v>488</v>
      </c>
      <c r="C21" s="22">
        <v>6</v>
      </c>
      <c r="D21" s="22" t="s">
        <v>156</v>
      </c>
      <c r="E21" s="23" t="s">
        <v>238</v>
      </c>
      <c r="F21" s="23"/>
    </row>
    <row r="22" spans="1:6" s="18" customFormat="1" ht="34.5">
      <c r="A22" s="5" t="s">
        <v>3</v>
      </c>
      <c r="B22" s="5" t="s">
        <v>20</v>
      </c>
      <c r="C22" s="17"/>
      <c r="D22" s="17" t="s">
        <v>142</v>
      </c>
      <c r="E22" s="6"/>
      <c r="F22" s="6" t="s">
        <v>291</v>
      </c>
    </row>
    <row r="23" spans="1:6" s="18" customFormat="1">
      <c r="A23" s="304" t="s">
        <v>21</v>
      </c>
      <c r="B23" s="304"/>
      <c r="C23" s="24"/>
      <c r="D23" s="24"/>
      <c r="E23" s="6"/>
      <c r="F23" s="6"/>
    </row>
    <row r="24" spans="1:6" s="18" customFormat="1" ht="80.5">
      <c r="A24" s="5" t="s">
        <v>3</v>
      </c>
      <c r="B24" s="5" t="s">
        <v>22</v>
      </c>
      <c r="C24" s="17">
        <v>60</v>
      </c>
      <c r="D24" s="17" t="s">
        <v>142</v>
      </c>
      <c r="E24" s="6"/>
      <c r="F24" s="16" t="s">
        <v>292</v>
      </c>
    </row>
    <row r="25" spans="1:6" s="18" customFormat="1" ht="23">
      <c r="A25" s="5" t="s">
        <v>3</v>
      </c>
      <c r="B25" s="5" t="s">
        <v>23</v>
      </c>
      <c r="C25" s="17">
        <v>20</v>
      </c>
      <c r="D25" s="17" t="s">
        <v>142</v>
      </c>
      <c r="E25" s="6"/>
      <c r="F25" s="6" t="s">
        <v>246</v>
      </c>
    </row>
    <row r="26" spans="1:6" s="18" customFormat="1" ht="23">
      <c r="A26" s="5" t="s">
        <v>3</v>
      </c>
      <c r="B26" s="5" t="s">
        <v>24</v>
      </c>
      <c r="C26" s="17"/>
      <c r="D26" s="17"/>
      <c r="E26" s="6" t="s">
        <v>208</v>
      </c>
      <c r="F26" s="6"/>
    </row>
    <row r="27" spans="1:6" s="18" customFormat="1" ht="34.5">
      <c r="A27" s="5" t="s">
        <v>3</v>
      </c>
      <c r="B27" s="5" t="s">
        <v>25</v>
      </c>
      <c r="C27" s="17">
        <v>9</v>
      </c>
      <c r="D27" s="17" t="s">
        <v>156</v>
      </c>
      <c r="E27" s="6"/>
      <c r="F27" s="6" t="s">
        <v>255</v>
      </c>
    </row>
    <row r="28" spans="1:6" s="18" customFormat="1">
      <c r="A28" s="5" t="s">
        <v>3</v>
      </c>
      <c r="B28" s="5" t="s">
        <v>26</v>
      </c>
      <c r="C28" s="17">
        <v>1</v>
      </c>
      <c r="D28" s="17" t="s">
        <v>142</v>
      </c>
      <c r="E28" s="6"/>
      <c r="F28" s="6" t="s">
        <v>247</v>
      </c>
    </row>
    <row r="29" spans="1:6" s="18" customFormat="1">
      <c r="A29" s="303" t="s">
        <v>27</v>
      </c>
      <c r="B29" s="303"/>
      <c r="C29" s="25"/>
      <c r="D29" s="25"/>
      <c r="E29" s="6"/>
      <c r="F29" s="6"/>
    </row>
    <row r="30" spans="1:6" s="18" customFormat="1" ht="161">
      <c r="A30" s="21" t="s">
        <v>3</v>
      </c>
      <c r="B30" s="21" t="s">
        <v>257</v>
      </c>
      <c r="C30" s="22">
        <v>25</v>
      </c>
      <c r="D30" s="22" t="s">
        <v>142</v>
      </c>
      <c r="E30" s="23" t="s">
        <v>256</v>
      </c>
      <c r="F30" s="26" t="s">
        <v>261</v>
      </c>
    </row>
    <row r="31" spans="1:6" s="32" customFormat="1" ht="115">
      <c r="A31" s="21"/>
      <c r="B31" s="21" t="s">
        <v>363</v>
      </c>
      <c r="C31" s="22" t="s">
        <v>142</v>
      </c>
      <c r="D31" s="22">
        <v>8</v>
      </c>
      <c r="E31" s="23" t="s">
        <v>362</v>
      </c>
      <c r="F31" s="26" t="s">
        <v>361</v>
      </c>
    </row>
    <row r="32" spans="1:6" s="18" customFormat="1" ht="115">
      <c r="A32" s="5" t="s">
        <v>3</v>
      </c>
      <c r="B32" s="21" t="s">
        <v>30</v>
      </c>
      <c r="C32" s="22" t="s">
        <v>142</v>
      </c>
      <c r="D32" s="22">
        <v>8</v>
      </c>
      <c r="E32" s="23" t="s">
        <v>259</v>
      </c>
      <c r="F32" s="26" t="s">
        <v>361</v>
      </c>
    </row>
    <row r="33" spans="1:6" s="18" customFormat="1" ht="46">
      <c r="A33" s="5" t="s">
        <v>3</v>
      </c>
      <c r="B33" s="21" t="s">
        <v>258</v>
      </c>
      <c r="C33" s="22">
        <v>2</v>
      </c>
      <c r="D33" s="22" t="s">
        <v>142</v>
      </c>
      <c r="E33" s="23" t="s">
        <v>260</v>
      </c>
      <c r="F33" s="6" t="s">
        <v>262</v>
      </c>
    </row>
    <row r="34" spans="1:6" s="18" customFormat="1" ht="126.5">
      <c r="A34" s="5" t="s">
        <v>3</v>
      </c>
      <c r="B34" s="5" t="s">
        <v>31</v>
      </c>
      <c r="C34" s="17">
        <v>8</v>
      </c>
      <c r="D34" s="17" t="s">
        <v>156</v>
      </c>
      <c r="E34" s="6"/>
      <c r="F34" s="26" t="s">
        <v>263</v>
      </c>
    </row>
    <row r="35" spans="1:6" s="18" customFormat="1" ht="14.5" customHeight="1">
      <c r="A35" s="303" t="s">
        <v>32</v>
      </c>
      <c r="B35" s="303"/>
      <c r="C35" s="25"/>
      <c r="D35" s="25"/>
      <c r="E35" s="19"/>
      <c r="F35" s="6"/>
    </row>
    <row r="36" spans="1:6" s="36" customFormat="1" ht="14.5" customHeight="1">
      <c r="A36" s="33" t="s">
        <v>3</v>
      </c>
      <c r="B36" s="33" t="s">
        <v>28</v>
      </c>
      <c r="C36" s="34">
        <v>25</v>
      </c>
      <c r="D36" s="34"/>
      <c r="E36" s="301" t="s">
        <v>264</v>
      </c>
      <c r="F36" s="35"/>
    </row>
    <row r="37" spans="1:6" s="36" customFormat="1">
      <c r="A37" s="33" t="s">
        <v>3</v>
      </c>
      <c r="B37" s="33" t="s">
        <v>29</v>
      </c>
      <c r="C37" s="34"/>
      <c r="D37" s="34"/>
      <c r="E37" s="301"/>
      <c r="F37" s="35"/>
    </row>
    <row r="38" spans="1:6" s="36" customFormat="1">
      <c r="A38" s="33" t="s">
        <v>3</v>
      </c>
      <c r="B38" s="33" t="s">
        <v>33</v>
      </c>
      <c r="C38" s="34"/>
      <c r="D38" s="34"/>
      <c r="E38" s="301"/>
      <c r="F38" s="35"/>
    </row>
    <row r="39" spans="1:6" s="36" customFormat="1">
      <c r="A39" s="33" t="s">
        <v>3</v>
      </c>
      <c r="B39" s="33" t="s">
        <v>30</v>
      </c>
      <c r="C39" s="34"/>
      <c r="D39" s="34"/>
      <c r="E39" s="301"/>
      <c r="F39" s="35"/>
    </row>
    <row r="40" spans="1:6" s="36" customFormat="1">
      <c r="A40" s="33" t="s">
        <v>3</v>
      </c>
      <c r="B40" s="33" t="s">
        <v>31</v>
      </c>
      <c r="C40" s="34"/>
      <c r="D40" s="34"/>
      <c r="E40" s="301"/>
      <c r="F40" s="35"/>
    </row>
    <row r="41" spans="1:6" s="18" customFormat="1">
      <c r="A41" s="303" t="s">
        <v>34</v>
      </c>
      <c r="B41" s="303"/>
      <c r="C41" s="25"/>
      <c r="D41" s="25"/>
      <c r="E41" s="20"/>
      <c r="F41" s="6"/>
    </row>
    <row r="42" spans="1:6" s="18" customFormat="1">
      <c r="A42" s="5" t="s">
        <v>3</v>
      </c>
      <c r="B42" s="5" t="s">
        <v>35</v>
      </c>
      <c r="C42" s="17">
        <v>1</v>
      </c>
      <c r="D42" s="17" t="s">
        <v>142</v>
      </c>
      <c r="E42" s="6"/>
      <c r="F42" s="6" t="s">
        <v>364</v>
      </c>
    </row>
    <row r="43" spans="1:6" s="18" customFormat="1" ht="103.5">
      <c r="A43" s="5" t="s">
        <v>3</v>
      </c>
      <c r="B43" s="5" t="s">
        <v>36</v>
      </c>
      <c r="C43" s="17">
        <v>3</v>
      </c>
      <c r="D43" s="17" t="s">
        <v>156</v>
      </c>
      <c r="E43" s="6" t="s">
        <v>265</v>
      </c>
      <c r="F43" s="6" t="s">
        <v>266</v>
      </c>
    </row>
    <row r="44" spans="1:6" s="18" customFormat="1">
      <c r="A44" s="5" t="s">
        <v>3</v>
      </c>
      <c r="B44" s="5" t="s">
        <v>37</v>
      </c>
      <c r="C44" s="17">
        <v>60</v>
      </c>
      <c r="D44" s="17" t="s">
        <v>142</v>
      </c>
      <c r="E44" s="300" t="s">
        <v>232</v>
      </c>
      <c r="F44" s="300"/>
    </row>
    <row r="45" spans="1:6" s="18" customFormat="1">
      <c r="A45" s="5" t="s">
        <v>3</v>
      </c>
      <c r="B45" s="5" t="s">
        <v>38</v>
      </c>
      <c r="C45" s="17">
        <v>16</v>
      </c>
      <c r="D45" s="17" t="s">
        <v>156</v>
      </c>
      <c r="E45" s="300"/>
      <c r="F45" s="300"/>
    </row>
    <row r="46" spans="1:6" s="18" customFormat="1">
      <c r="A46" s="5" t="s">
        <v>3</v>
      </c>
      <c r="B46" s="5" t="s">
        <v>39</v>
      </c>
      <c r="C46" s="17">
        <v>16</v>
      </c>
      <c r="D46" s="17" t="s">
        <v>156</v>
      </c>
      <c r="E46" s="300"/>
      <c r="F46" s="300"/>
    </row>
    <row r="47" spans="1:6" s="18" customFormat="1">
      <c r="A47" s="5" t="s">
        <v>3</v>
      </c>
      <c r="B47" s="5" t="s">
        <v>40</v>
      </c>
      <c r="C47" s="17">
        <v>16</v>
      </c>
      <c r="D47" s="17" t="s">
        <v>156</v>
      </c>
      <c r="E47" s="300"/>
      <c r="F47" s="300"/>
    </row>
    <row r="48" spans="1:6" s="18" customFormat="1" ht="149.5">
      <c r="A48" s="5" t="s">
        <v>3</v>
      </c>
      <c r="B48" s="5" t="s">
        <v>41</v>
      </c>
      <c r="C48" s="17">
        <v>9</v>
      </c>
      <c r="D48" s="17" t="s">
        <v>156</v>
      </c>
      <c r="E48" s="6" t="s">
        <v>70</v>
      </c>
      <c r="F48" s="6" t="s">
        <v>249</v>
      </c>
    </row>
    <row r="49" spans="1:6" s="18" customFormat="1" ht="57.5">
      <c r="A49" s="5" t="s">
        <v>3</v>
      </c>
      <c r="B49" s="5" t="s">
        <v>42</v>
      </c>
      <c r="C49" s="17">
        <v>9</v>
      </c>
      <c r="D49" s="17" t="s">
        <v>156</v>
      </c>
      <c r="E49" s="6" t="s">
        <v>70</v>
      </c>
      <c r="F49" s="6" t="s">
        <v>234</v>
      </c>
    </row>
    <row r="50" spans="1:6" s="18" customFormat="1" ht="103.5">
      <c r="A50" s="5" t="s">
        <v>3</v>
      </c>
      <c r="B50" s="5" t="s">
        <v>43</v>
      </c>
      <c r="C50" s="17">
        <v>9</v>
      </c>
      <c r="D50" s="17" t="s">
        <v>156</v>
      </c>
      <c r="E50" s="6" t="s">
        <v>70</v>
      </c>
      <c r="F50" s="6" t="s">
        <v>250</v>
      </c>
    </row>
    <row r="51" spans="1:6" s="18" customFormat="1" ht="23">
      <c r="A51" s="5" t="s">
        <v>3</v>
      </c>
      <c r="B51" s="5" t="s">
        <v>44</v>
      </c>
      <c r="C51" s="17">
        <v>2</v>
      </c>
      <c r="D51" s="17" t="s">
        <v>156</v>
      </c>
      <c r="E51" s="6" t="s">
        <v>70</v>
      </c>
      <c r="F51" s="6" t="s">
        <v>251</v>
      </c>
    </row>
    <row r="52" spans="1:6" s="18" customFormat="1" ht="34.5">
      <c r="A52" s="5" t="s">
        <v>3</v>
      </c>
      <c r="B52" s="5" t="s">
        <v>45</v>
      </c>
      <c r="C52" s="17">
        <v>4</v>
      </c>
      <c r="D52" s="17" t="s">
        <v>156</v>
      </c>
      <c r="E52" s="6" t="s">
        <v>230</v>
      </c>
      <c r="F52" s="6" t="s">
        <v>252</v>
      </c>
    </row>
    <row r="53" spans="1:6" s="18" customFormat="1" ht="126.5">
      <c r="A53" s="5" t="s">
        <v>3</v>
      </c>
      <c r="B53" s="5" t="s">
        <v>46</v>
      </c>
      <c r="C53" s="17">
        <v>2</v>
      </c>
      <c r="D53" s="17" t="s">
        <v>142</v>
      </c>
      <c r="E53" s="6" t="s">
        <v>233</v>
      </c>
      <c r="F53" s="6" t="s">
        <v>267</v>
      </c>
    </row>
    <row r="54" spans="1:6" s="18" customFormat="1" ht="115">
      <c r="A54" s="5" t="s">
        <v>3</v>
      </c>
      <c r="B54" s="5" t="s">
        <v>47</v>
      </c>
      <c r="C54" s="17">
        <v>8</v>
      </c>
      <c r="D54" s="17" t="s">
        <v>156</v>
      </c>
      <c r="E54" s="6" t="s">
        <v>70</v>
      </c>
      <c r="F54" s="6" t="s">
        <v>366</v>
      </c>
    </row>
    <row r="55" spans="1:6" s="18" customFormat="1" ht="207">
      <c r="A55" s="5" t="s">
        <v>3</v>
      </c>
      <c r="B55" s="5" t="s">
        <v>48</v>
      </c>
      <c r="C55" s="17">
        <v>2</v>
      </c>
      <c r="D55" s="17" t="s">
        <v>156</v>
      </c>
      <c r="E55" s="6" t="s">
        <v>70</v>
      </c>
      <c r="F55" s="6" t="s">
        <v>268</v>
      </c>
    </row>
    <row r="56" spans="1:6" s="36" customFormat="1" ht="23">
      <c r="A56" s="33" t="s">
        <v>3</v>
      </c>
      <c r="B56" s="33" t="s">
        <v>49</v>
      </c>
      <c r="C56" s="34"/>
      <c r="D56" s="34"/>
      <c r="E56" s="35" t="s">
        <v>235</v>
      </c>
      <c r="F56" s="35"/>
    </row>
    <row r="57" spans="1:6" s="18" customFormat="1" ht="138">
      <c r="A57" s="5" t="s">
        <v>3</v>
      </c>
      <c r="B57" s="5" t="s">
        <v>50</v>
      </c>
      <c r="C57" s="17">
        <v>8</v>
      </c>
      <c r="D57" s="17" t="s">
        <v>156</v>
      </c>
      <c r="E57" s="6" t="s">
        <v>71</v>
      </c>
      <c r="F57" s="6" t="s">
        <v>269</v>
      </c>
    </row>
    <row r="58" spans="1:6" s="18" customFormat="1" ht="69">
      <c r="A58" s="5" t="s">
        <v>3</v>
      </c>
      <c r="B58" s="5" t="s">
        <v>51</v>
      </c>
      <c r="C58" s="17">
        <v>1</v>
      </c>
      <c r="D58" s="17" t="s">
        <v>142</v>
      </c>
      <c r="E58" s="6" t="s">
        <v>70</v>
      </c>
      <c r="F58" s="6" t="s">
        <v>270</v>
      </c>
    </row>
    <row r="59" spans="1:6" s="18" customFormat="1" ht="172.5">
      <c r="A59" s="5" t="s">
        <v>3</v>
      </c>
      <c r="B59" s="5" t="s">
        <v>52</v>
      </c>
      <c r="C59" s="17">
        <v>8</v>
      </c>
      <c r="D59" s="17" t="s">
        <v>156</v>
      </c>
      <c r="E59" s="6" t="s">
        <v>70</v>
      </c>
      <c r="F59" s="6" t="s">
        <v>365</v>
      </c>
    </row>
    <row r="60" spans="1:6" s="18" customFormat="1" ht="149.5">
      <c r="A60" s="5" t="s">
        <v>3</v>
      </c>
      <c r="B60" s="5" t="s">
        <v>53</v>
      </c>
      <c r="C60" s="17">
        <v>2</v>
      </c>
      <c r="D60" s="17" t="s">
        <v>142</v>
      </c>
      <c r="E60" s="6" t="s">
        <v>61</v>
      </c>
      <c r="F60" s="6" t="s">
        <v>271</v>
      </c>
    </row>
    <row r="61" spans="1:6" s="36" customFormat="1" ht="57.5">
      <c r="A61" s="33" t="s">
        <v>3</v>
      </c>
      <c r="B61" s="33" t="s">
        <v>54</v>
      </c>
      <c r="C61" s="34"/>
      <c r="D61" s="34"/>
      <c r="E61" s="35" t="s">
        <v>62</v>
      </c>
      <c r="F61" s="35"/>
    </row>
    <row r="62" spans="1:6" s="18" customFormat="1" ht="69">
      <c r="A62" s="5"/>
      <c r="B62" s="5" t="s">
        <v>273</v>
      </c>
      <c r="C62" s="17">
        <v>8</v>
      </c>
      <c r="D62" s="17"/>
      <c r="E62" s="6" t="s">
        <v>272</v>
      </c>
      <c r="F62" s="6" t="s">
        <v>274</v>
      </c>
    </row>
    <row r="63" spans="1:6">
      <c r="A63" s="1"/>
      <c r="B63" s="3"/>
      <c r="C63" s="13"/>
      <c r="D63" s="13"/>
      <c r="E63" s="7"/>
      <c r="F63" s="8"/>
    </row>
    <row r="64" spans="1:6">
      <c r="A64" s="302" t="s">
        <v>55</v>
      </c>
      <c r="B64" s="302"/>
      <c r="C64" s="12"/>
      <c r="D64" s="12"/>
      <c r="E64" s="7"/>
      <c r="F64" s="8"/>
    </row>
    <row r="65" spans="1:6">
      <c r="A65" s="1" t="s">
        <v>3</v>
      </c>
      <c r="B65" s="3" t="s">
        <v>56</v>
      </c>
      <c r="C65" s="13"/>
      <c r="D65" s="13"/>
      <c r="E65" s="7" t="s">
        <v>72</v>
      </c>
      <c r="F65" s="8"/>
    </row>
    <row r="66" spans="1:6">
      <c r="A66" s="1" t="s">
        <v>3</v>
      </c>
      <c r="B66" s="3" t="s">
        <v>57</v>
      </c>
      <c r="C66" s="13"/>
      <c r="D66" s="13"/>
      <c r="E66" s="7" t="s">
        <v>72</v>
      </c>
      <c r="F66" s="8"/>
    </row>
    <row r="67" spans="1:6" ht="35">
      <c r="A67" s="1" t="s">
        <v>3</v>
      </c>
      <c r="B67" s="3" t="s">
        <v>58</v>
      </c>
      <c r="C67" s="13"/>
      <c r="D67" s="13"/>
      <c r="E67" s="7" t="s">
        <v>63</v>
      </c>
      <c r="F67" s="8"/>
    </row>
    <row r="68" spans="1:6" ht="23.5">
      <c r="A68" s="1" t="s">
        <v>3</v>
      </c>
      <c r="B68" s="3" t="s">
        <v>59</v>
      </c>
      <c r="C68" s="13"/>
      <c r="D68" s="13"/>
      <c r="E68" s="7" t="s">
        <v>64</v>
      </c>
      <c r="F68" s="8"/>
    </row>
  </sheetData>
  <mergeCells count="11">
    <mergeCell ref="A2:B2"/>
    <mergeCell ref="A17:B17"/>
    <mergeCell ref="A23:B23"/>
    <mergeCell ref="A29:B29"/>
    <mergeCell ref="A35:B35"/>
    <mergeCell ref="E13:E16"/>
    <mergeCell ref="E44:E47"/>
    <mergeCell ref="F44:F47"/>
    <mergeCell ref="E36:E40"/>
    <mergeCell ref="A64:B64"/>
    <mergeCell ref="A41:B41"/>
  </mergeCells>
  <phoneticPr fontId="19" type="noConversion"/>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25"/>
  <sheetViews>
    <sheetView tabSelected="1" workbookViewId="0">
      <selection activeCell="I11" sqref="I11"/>
    </sheetView>
  </sheetViews>
  <sheetFormatPr defaultColWidth="8.83203125" defaultRowHeight="11.5"/>
  <cols>
    <col min="1" max="1" width="8.83203125" style="41" customWidth="1"/>
    <col min="2" max="2" width="18" style="41" customWidth="1"/>
    <col min="3" max="5" width="8.83203125" style="41"/>
    <col min="6" max="6" width="10.6640625" style="41" customWidth="1"/>
    <col min="7" max="7" width="10.5" style="41" customWidth="1"/>
    <col min="8" max="8" width="10.1640625" style="41" customWidth="1"/>
    <col min="9" max="9" width="9.9140625" style="41" customWidth="1"/>
    <col min="10" max="10" width="9.6640625" style="41" customWidth="1"/>
    <col min="11" max="11" width="37.33203125" style="41" customWidth="1"/>
    <col min="12" max="12" width="23.83203125" style="11" bestFit="1" customWidth="1"/>
    <col min="13" max="16384" width="8.83203125" style="41"/>
  </cols>
  <sheetData>
    <row r="1" spans="1:12" ht="46">
      <c r="A1" s="188" t="s">
        <v>131</v>
      </c>
      <c r="B1" s="188" t="s">
        <v>1</v>
      </c>
      <c r="C1" s="189" t="s">
        <v>132</v>
      </c>
      <c r="D1" s="190" t="s">
        <v>133</v>
      </c>
      <c r="E1" s="188" t="s">
        <v>134</v>
      </c>
      <c r="F1" s="188" t="s">
        <v>135</v>
      </c>
      <c r="G1" s="189" t="s">
        <v>136</v>
      </c>
      <c r="H1" s="189" t="s">
        <v>137</v>
      </c>
      <c r="I1" s="189" t="s">
        <v>138</v>
      </c>
      <c r="J1" s="189" t="s">
        <v>139</v>
      </c>
      <c r="K1" s="189" t="s">
        <v>140</v>
      </c>
    </row>
    <row r="2" spans="1:12" s="104" customFormat="1">
      <c r="A2" s="102">
        <v>1</v>
      </c>
      <c r="B2" s="102" t="s">
        <v>196</v>
      </c>
      <c r="C2" s="102"/>
      <c r="D2" s="103">
        <v>1</v>
      </c>
      <c r="E2" s="102" t="s">
        <v>194</v>
      </c>
      <c r="F2" s="102" t="s">
        <v>143</v>
      </c>
      <c r="G2" s="102">
        <v>1</v>
      </c>
      <c r="H2" s="102"/>
      <c r="I2" s="102" t="s">
        <v>145</v>
      </c>
      <c r="J2" s="102"/>
      <c r="K2" s="102" t="s">
        <v>197</v>
      </c>
      <c r="L2" s="193"/>
    </row>
    <row r="3" spans="1:12" ht="23">
      <c r="A3" s="6">
        <v>2</v>
      </c>
      <c r="B3" s="6" t="s">
        <v>147</v>
      </c>
      <c r="C3" s="105"/>
      <c r="D3" s="106">
        <v>10</v>
      </c>
      <c r="E3" s="6" t="s">
        <v>148</v>
      </c>
      <c r="F3" s="6" t="s">
        <v>143</v>
      </c>
      <c r="G3" s="105" t="s">
        <v>149</v>
      </c>
      <c r="H3" s="107" t="s">
        <v>144</v>
      </c>
      <c r="I3" s="107" t="s">
        <v>145</v>
      </c>
      <c r="J3" s="107" t="s">
        <v>146</v>
      </c>
      <c r="K3" s="44" t="s">
        <v>150</v>
      </c>
    </row>
    <row r="4" spans="1:12">
      <c r="A4" s="6">
        <v>3</v>
      </c>
      <c r="B4" s="6" t="s">
        <v>151</v>
      </c>
      <c r="C4" s="6"/>
      <c r="D4" s="106">
        <v>8</v>
      </c>
      <c r="E4" s="6" t="s">
        <v>152</v>
      </c>
      <c r="F4" s="6" t="s">
        <v>143</v>
      </c>
      <c r="G4" s="6" t="s">
        <v>153</v>
      </c>
      <c r="H4" s="107" t="s">
        <v>144</v>
      </c>
      <c r="I4" s="107" t="s">
        <v>145</v>
      </c>
      <c r="J4" s="107" t="s">
        <v>146</v>
      </c>
      <c r="K4" s="6" t="s">
        <v>154</v>
      </c>
    </row>
    <row r="5" spans="1:12">
      <c r="A5" s="6">
        <v>4</v>
      </c>
      <c r="B5" s="6" t="s">
        <v>155</v>
      </c>
      <c r="C5" s="105"/>
      <c r="D5" s="106">
        <v>2</v>
      </c>
      <c r="E5" s="6" t="s">
        <v>156</v>
      </c>
      <c r="F5" s="6" t="s">
        <v>143</v>
      </c>
      <c r="G5" s="105" t="s">
        <v>157</v>
      </c>
      <c r="H5" s="107" t="s">
        <v>144</v>
      </c>
      <c r="I5" s="107" t="s">
        <v>145</v>
      </c>
      <c r="J5" s="107" t="s">
        <v>146</v>
      </c>
      <c r="K5" s="44" t="s">
        <v>158</v>
      </c>
    </row>
    <row r="6" spans="1:12">
      <c r="A6" s="6">
        <v>5</v>
      </c>
      <c r="B6" s="6" t="s">
        <v>195</v>
      </c>
      <c r="C6" s="6"/>
      <c r="D6" s="106">
        <v>8</v>
      </c>
      <c r="E6" s="6" t="s">
        <v>152</v>
      </c>
      <c r="F6" s="6" t="s">
        <v>143</v>
      </c>
      <c r="G6" s="6" t="s">
        <v>153</v>
      </c>
      <c r="H6" s="107" t="s">
        <v>144</v>
      </c>
      <c r="I6" s="107" t="s">
        <v>145</v>
      </c>
      <c r="J6" s="107" t="s">
        <v>146</v>
      </c>
      <c r="K6" s="6" t="s">
        <v>154</v>
      </c>
    </row>
    <row r="7" spans="1:12">
      <c r="A7" s="6">
        <v>5</v>
      </c>
      <c r="B7" s="6" t="s">
        <v>877</v>
      </c>
      <c r="C7" s="6"/>
      <c r="D7" s="106">
        <v>60</v>
      </c>
      <c r="E7" s="6" t="s">
        <v>152</v>
      </c>
      <c r="F7" s="6" t="s">
        <v>143</v>
      </c>
      <c r="G7" s="6" t="s">
        <v>153</v>
      </c>
      <c r="H7" s="107" t="s">
        <v>144</v>
      </c>
      <c r="I7" s="107" t="s">
        <v>145</v>
      </c>
      <c r="J7" s="107" t="s">
        <v>146</v>
      </c>
      <c r="K7" s="6"/>
    </row>
    <row r="8" spans="1:12">
      <c r="A8" s="6">
        <v>6</v>
      </c>
      <c r="B8" s="6" t="s">
        <v>57</v>
      </c>
      <c r="C8" s="108"/>
      <c r="D8" s="106"/>
      <c r="E8" s="6" t="s">
        <v>156</v>
      </c>
      <c r="F8" s="6" t="s">
        <v>143</v>
      </c>
      <c r="G8" s="108"/>
      <c r="H8" s="107" t="s">
        <v>144</v>
      </c>
      <c r="I8" s="107" t="s">
        <v>145</v>
      </c>
      <c r="J8" s="107" t="s">
        <v>146</v>
      </c>
      <c r="K8" s="6"/>
    </row>
    <row r="10" spans="1:12">
      <c r="A10" s="140" t="s">
        <v>367</v>
      </c>
      <c r="B10" s="141"/>
      <c r="C10" s="141"/>
      <c r="D10" s="141"/>
      <c r="E10" s="141"/>
      <c r="F10" s="141"/>
      <c r="G10" s="141"/>
    </row>
    <row r="12" spans="1:12" ht="46">
      <c r="A12" s="188" t="s">
        <v>131</v>
      </c>
      <c r="B12" s="188" t="s">
        <v>1</v>
      </c>
      <c r="C12" s="189" t="s">
        <v>132</v>
      </c>
      <c r="D12" s="190" t="s">
        <v>133</v>
      </c>
      <c r="E12" s="188" t="s">
        <v>134</v>
      </c>
      <c r="F12" s="188" t="s">
        <v>135</v>
      </c>
      <c r="G12" s="189" t="s">
        <v>136</v>
      </c>
      <c r="H12" s="189" t="s">
        <v>137</v>
      </c>
      <c r="I12" s="189" t="s">
        <v>138</v>
      </c>
      <c r="J12" s="189" t="s">
        <v>139</v>
      </c>
      <c r="K12" s="189" t="s">
        <v>140</v>
      </c>
    </row>
    <row r="13" spans="1:12" ht="23">
      <c r="A13" s="107">
        <v>1</v>
      </c>
      <c r="B13" s="109" t="s">
        <v>141</v>
      </c>
      <c r="C13" s="110"/>
      <c r="D13" s="111">
        <v>1</v>
      </c>
      <c r="E13" s="109" t="s">
        <v>142</v>
      </c>
      <c r="F13" s="109" t="s">
        <v>143</v>
      </c>
      <c r="G13" s="109" t="s">
        <v>159</v>
      </c>
      <c r="H13" s="107" t="s">
        <v>144</v>
      </c>
      <c r="I13" s="107" t="s">
        <v>145</v>
      </c>
      <c r="J13" s="107" t="s">
        <v>146</v>
      </c>
      <c r="K13" s="6" t="s">
        <v>160</v>
      </c>
    </row>
    <row r="14" spans="1:12" ht="23">
      <c r="A14" s="105">
        <v>2</v>
      </c>
      <c r="B14" s="44" t="s">
        <v>161</v>
      </c>
      <c r="C14" s="6"/>
      <c r="D14" s="106">
        <v>9</v>
      </c>
      <c r="E14" s="44" t="s">
        <v>156</v>
      </c>
      <c r="F14" s="44" t="s">
        <v>143</v>
      </c>
      <c r="G14" s="44" t="s">
        <v>157</v>
      </c>
      <c r="H14" s="107" t="s">
        <v>144</v>
      </c>
      <c r="I14" s="107" t="s">
        <v>145</v>
      </c>
      <c r="J14" s="107" t="s">
        <v>146</v>
      </c>
      <c r="K14" s="6" t="s">
        <v>162</v>
      </c>
    </row>
    <row r="17" spans="1:12" s="242" customFormat="1" ht="15.5">
      <c r="A17" s="243" t="s">
        <v>863</v>
      </c>
      <c r="L17" s="244"/>
    </row>
    <row r="18" spans="1:12" s="242" customFormat="1" ht="13">
      <c r="A18" s="245" t="s">
        <v>864</v>
      </c>
      <c r="L18" s="244"/>
    </row>
    <row r="19" spans="1:12" s="242" customFormat="1" ht="13">
      <c r="A19" s="245" t="s">
        <v>865</v>
      </c>
      <c r="L19" s="244"/>
    </row>
    <row r="20" spans="1:12" s="242" customFormat="1" ht="13">
      <c r="A20" s="245" t="s">
        <v>866</v>
      </c>
      <c r="L20" s="244"/>
    </row>
    <row r="21" spans="1:12" s="242" customFormat="1" ht="13">
      <c r="A21" s="245" t="s">
        <v>867</v>
      </c>
      <c r="L21" s="244"/>
    </row>
    <row r="22" spans="1:12" s="242" customFormat="1" ht="12.5">
      <c r="A22" s="245" t="s">
        <v>868</v>
      </c>
      <c r="L22" s="244"/>
    </row>
    <row r="23" spans="1:12" s="242" customFormat="1" ht="13">
      <c r="A23" s="245" t="s">
        <v>869</v>
      </c>
      <c r="L23" s="244"/>
    </row>
    <row r="24" spans="1:12" s="242" customFormat="1" ht="12.5">
      <c r="A24" s="245" t="s">
        <v>871</v>
      </c>
      <c r="L24" s="244"/>
    </row>
    <row r="25" spans="1:12" s="242" customFormat="1" ht="12.5">
      <c r="A25" s="245" t="s">
        <v>870</v>
      </c>
      <c r="L25" s="244"/>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75"/>
  <sheetViews>
    <sheetView workbookViewId="0">
      <selection activeCell="B10" sqref="B10"/>
    </sheetView>
  </sheetViews>
  <sheetFormatPr defaultRowHeight="14"/>
  <cols>
    <col min="1" max="2" width="92.1640625" style="30" customWidth="1"/>
    <col min="3" max="3" width="62.9140625" style="31" customWidth="1"/>
  </cols>
  <sheetData>
    <row r="1" spans="1:3">
      <c r="A1" s="217" t="s">
        <v>73</v>
      </c>
      <c r="B1" s="217"/>
    </row>
    <row r="2" spans="1:3">
      <c r="A2" s="161" t="s">
        <v>74</v>
      </c>
      <c r="B2" s="256"/>
    </row>
    <row r="3" spans="1:3" ht="25.5">
      <c r="A3" s="154" t="s">
        <v>276</v>
      </c>
    </row>
    <row r="4" spans="1:3">
      <c r="A4" s="154" t="s">
        <v>75</v>
      </c>
    </row>
    <row r="5" spans="1:3">
      <c r="A5" s="154" t="s">
        <v>76</v>
      </c>
      <c r="C5" s="191" t="s">
        <v>723</v>
      </c>
    </row>
    <row r="6" spans="1:3">
      <c r="A6" s="154" t="s">
        <v>77</v>
      </c>
      <c r="C6" s="192" t="s">
        <v>750</v>
      </c>
    </row>
    <row r="7" spans="1:3">
      <c r="A7" s="154" t="s">
        <v>214</v>
      </c>
    </row>
    <row r="9" spans="1:3">
      <c r="A9" s="218" t="s">
        <v>78</v>
      </c>
      <c r="B9" s="217"/>
    </row>
    <row r="10" spans="1:3">
      <c r="A10" s="154" t="s">
        <v>79</v>
      </c>
    </row>
    <row r="11" spans="1:3">
      <c r="A11" s="154" t="s">
        <v>80</v>
      </c>
    </row>
    <row r="12" spans="1:3">
      <c r="A12" s="154" t="s">
        <v>81</v>
      </c>
    </row>
    <row r="13" spans="1:3">
      <c r="A13" s="154" t="s">
        <v>82</v>
      </c>
    </row>
    <row r="14" spans="1:3">
      <c r="A14" s="154" t="s">
        <v>83</v>
      </c>
    </row>
    <row r="15" spans="1:3" ht="25.5">
      <c r="A15" s="154" t="s">
        <v>84</v>
      </c>
    </row>
    <row r="16" spans="1:3">
      <c r="A16" s="154" t="s">
        <v>85</v>
      </c>
    </row>
    <row r="17" spans="1:3">
      <c r="A17" s="154" t="s">
        <v>86</v>
      </c>
      <c r="C17" s="191" t="s">
        <v>725</v>
      </c>
    </row>
    <row r="18" spans="1:3">
      <c r="A18" s="154" t="s">
        <v>87</v>
      </c>
      <c r="C18" s="31" t="s">
        <v>859</v>
      </c>
    </row>
    <row r="19" spans="1:3">
      <c r="A19" s="154" t="s">
        <v>88</v>
      </c>
    </row>
    <row r="20" spans="1:3">
      <c r="A20" s="154" t="s">
        <v>85</v>
      </c>
    </row>
    <row r="21" spans="1:3">
      <c r="A21" s="154" t="s">
        <v>86</v>
      </c>
    </row>
    <row r="22" spans="1:3">
      <c r="A22" s="154" t="s">
        <v>89</v>
      </c>
    </row>
    <row r="23" spans="1:3">
      <c r="A23" s="154" t="s">
        <v>90</v>
      </c>
    </row>
    <row r="25" spans="1:3">
      <c r="A25" s="218" t="s">
        <v>91</v>
      </c>
      <c r="B25" s="217"/>
    </row>
    <row r="26" spans="1:3">
      <c r="A26" s="154" t="s">
        <v>92</v>
      </c>
    </row>
    <row r="27" spans="1:3">
      <c r="A27" s="154" t="s">
        <v>80</v>
      </c>
    </row>
    <row r="28" spans="1:3">
      <c r="A28" s="154" t="s">
        <v>93</v>
      </c>
    </row>
    <row r="29" spans="1:3">
      <c r="A29" s="154" t="s">
        <v>94</v>
      </c>
    </row>
    <row r="30" spans="1:3">
      <c r="A30" s="154" t="s">
        <v>95</v>
      </c>
    </row>
    <row r="31" spans="1:3">
      <c r="A31" s="154" t="s">
        <v>96</v>
      </c>
    </row>
    <row r="32" spans="1:3">
      <c r="A32" s="154" t="s">
        <v>97</v>
      </c>
    </row>
    <row r="33" spans="1:2">
      <c r="A33" s="154" t="s">
        <v>98</v>
      </c>
    </row>
    <row r="34" spans="1:2">
      <c r="A34" s="154" t="s">
        <v>94</v>
      </c>
    </row>
    <row r="35" spans="1:2">
      <c r="A35" s="154" t="s">
        <v>99</v>
      </c>
    </row>
    <row r="36" spans="1:2">
      <c r="A36" s="154" t="s">
        <v>100</v>
      </c>
    </row>
    <row r="37" spans="1:2">
      <c r="A37" s="154" t="s">
        <v>101</v>
      </c>
    </row>
    <row r="38" spans="1:2">
      <c r="A38" s="154" t="s">
        <v>97</v>
      </c>
    </row>
    <row r="39" spans="1:2">
      <c r="A39" s="154" t="s">
        <v>98</v>
      </c>
    </row>
    <row r="40" spans="1:2">
      <c r="A40" s="154" t="s">
        <v>94</v>
      </c>
    </row>
    <row r="41" spans="1:2">
      <c r="A41" s="154" t="s">
        <v>102</v>
      </c>
    </row>
    <row r="42" spans="1:2">
      <c r="A42" s="154" t="s">
        <v>103</v>
      </c>
    </row>
    <row r="43" spans="1:2">
      <c r="A43" s="154" t="s">
        <v>104</v>
      </c>
    </row>
    <row r="44" spans="1:2">
      <c r="A44" s="154" t="s">
        <v>105</v>
      </c>
    </row>
    <row r="45" spans="1:2" ht="25.5">
      <c r="A45" s="154" t="s">
        <v>106</v>
      </c>
    </row>
    <row r="46" spans="1:2">
      <c r="A46" s="154" t="s">
        <v>107</v>
      </c>
    </row>
    <row r="48" spans="1:2">
      <c r="A48" s="218" t="s">
        <v>108</v>
      </c>
      <c r="B48" s="217"/>
    </row>
    <row r="49" spans="1:1">
      <c r="A49" s="154" t="s">
        <v>109</v>
      </c>
    </row>
    <row r="50" spans="1:1" ht="25.5">
      <c r="A50" s="154" t="s">
        <v>110</v>
      </c>
    </row>
    <row r="51" spans="1:1">
      <c r="A51" s="154" t="s">
        <v>80</v>
      </c>
    </row>
    <row r="52" spans="1:1" ht="25.5">
      <c r="A52" s="154" t="s">
        <v>111</v>
      </c>
    </row>
    <row r="53" spans="1:1" ht="25.5">
      <c r="A53" s="154" t="s">
        <v>112</v>
      </c>
    </row>
    <row r="54" spans="1:1">
      <c r="A54" s="154" t="s">
        <v>96</v>
      </c>
    </row>
    <row r="55" spans="1:1" ht="38">
      <c r="A55" s="154" t="s">
        <v>113</v>
      </c>
    </row>
    <row r="56" spans="1:1">
      <c r="A56" s="154" t="s">
        <v>114</v>
      </c>
    </row>
    <row r="57" spans="1:1" ht="25.5">
      <c r="A57" s="154" t="s">
        <v>112</v>
      </c>
    </row>
    <row r="58" spans="1:1">
      <c r="A58" s="154" t="s">
        <v>87</v>
      </c>
    </row>
    <row r="59" spans="1:1" ht="25.5">
      <c r="A59" s="154" t="s">
        <v>115</v>
      </c>
    </row>
    <row r="60" spans="1:1" ht="25.5">
      <c r="A60" s="154" t="s">
        <v>116</v>
      </c>
    </row>
    <row r="61" spans="1:1">
      <c r="A61" s="154" t="s">
        <v>103</v>
      </c>
    </row>
    <row r="62" spans="1:1">
      <c r="A62" s="154" t="s">
        <v>117</v>
      </c>
    </row>
    <row r="63" spans="1:1">
      <c r="A63" s="154" t="s">
        <v>118</v>
      </c>
    </row>
    <row r="64" spans="1:1" ht="25.5">
      <c r="A64" s="154" t="s">
        <v>119</v>
      </c>
    </row>
    <row r="65" spans="1:2">
      <c r="A65" s="154" t="s">
        <v>120</v>
      </c>
    </row>
    <row r="68" spans="1:2">
      <c r="A68" s="218" t="s">
        <v>121</v>
      </c>
      <c r="B68" s="217"/>
    </row>
    <row r="69" spans="1:2">
      <c r="A69" s="154" t="s">
        <v>122</v>
      </c>
    </row>
    <row r="70" spans="1:2">
      <c r="A70" s="154" t="s">
        <v>123</v>
      </c>
    </row>
    <row r="71" spans="1:2" ht="38">
      <c r="A71" s="154" t="s">
        <v>124</v>
      </c>
    </row>
    <row r="72" spans="1:2" ht="38">
      <c r="A72" s="154" t="s">
        <v>125</v>
      </c>
    </row>
    <row r="73" spans="1:2">
      <c r="A73" s="154" t="s">
        <v>126</v>
      </c>
    </row>
    <row r="74" spans="1:2" ht="25.5">
      <c r="A74" s="154" t="s">
        <v>127</v>
      </c>
    </row>
    <row r="75" spans="1:2" ht="25.5">
      <c r="A75" s="154" t="s">
        <v>128</v>
      </c>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70"/>
  <sheetViews>
    <sheetView topLeftCell="A61" workbookViewId="0">
      <selection activeCell="F4" sqref="F4"/>
    </sheetView>
  </sheetViews>
  <sheetFormatPr defaultRowHeight="14"/>
  <cols>
    <col min="1" max="1" width="18.1640625" style="131" customWidth="1"/>
    <col min="2" max="2" width="34" style="255" customWidth="1"/>
    <col min="3" max="3" width="53.5" style="133" customWidth="1"/>
    <col min="4" max="4" width="8.83203125" style="41"/>
    <col min="5" max="5" width="42.83203125" style="41" customWidth="1"/>
  </cols>
  <sheetData>
    <row r="1" spans="1:5" ht="14.5" thickBot="1">
      <c r="A1" s="112" t="s">
        <v>368</v>
      </c>
      <c r="B1" s="113" t="s">
        <v>369</v>
      </c>
      <c r="C1" s="114" t="s">
        <v>370</v>
      </c>
    </row>
    <row r="2" spans="1:5" ht="23.5" thickBot="1">
      <c r="A2" s="115" t="s">
        <v>560</v>
      </c>
      <c r="B2" s="246" t="s">
        <v>561</v>
      </c>
      <c r="C2" s="116" t="s">
        <v>562</v>
      </c>
      <c r="E2" s="257"/>
    </row>
    <row r="3" spans="1:5">
      <c r="A3" s="305" t="s">
        <v>165</v>
      </c>
      <c r="B3" s="326" t="s">
        <v>178</v>
      </c>
      <c r="C3" s="117" t="s">
        <v>371</v>
      </c>
      <c r="E3" s="219" t="s">
        <v>837</v>
      </c>
    </row>
    <row r="4" spans="1:5" ht="212.5">
      <c r="A4" s="306"/>
      <c r="B4" s="314"/>
      <c r="C4" s="117" t="s">
        <v>372</v>
      </c>
      <c r="E4" s="153" t="s">
        <v>751</v>
      </c>
    </row>
    <row r="5" spans="1:5">
      <c r="A5" s="306"/>
      <c r="B5" s="314"/>
      <c r="C5" s="117" t="s">
        <v>373</v>
      </c>
    </row>
    <row r="6" spans="1:5" ht="23">
      <c r="A6" s="306"/>
      <c r="B6" s="314"/>
      <c r="C6" s="118" t="s">
        <v>374</v>
      </c>
      <c r="E6" s="26"/>
    </row>
    <row r="7" spans="1:5" ht="23">
      <c r="A7" s="306"/>
      <c r="B7" s="314"/>
      <c r="C7" s="118" t="s">
        <v>375</v>
      </c>
    </row>
    <row r="8" spans="1:5">
      <c r="A8" s="306"/>
      <c r="B8" s="314"/>
      <c r="C8" s="118" t="s">
        <v>693</v>
      </c>
    </row>
    <row r="9" spans="1:5" ht="23">
      <c r="A9" s="306"/>
      <c r="B9" s="314"/>
      <c r="C9" s="118" t="s">
        <v>694</v>
      </c>
    </row>
    <row r="10" spans="1:5" ht="23">
      <c r="A10" s="306"/>
      <c r="B10" s="314"/>
      <c r="C10" s="118" t="s">
        <v>695</v>
      </c>
    </row>
    <row r="11" spans="1:5" ht="14.5" thickBot="1">
      <c r="A11" s="307"/>
      <c r="B11" s="327"/>
      <c r="C11" s="119" t="s">
        <v>275</v>
      </c>
    </row>
    <row r="12" spans="1:5">
      <c r="A12" s="305" t="s">
        <v>179</v>
      </c>
      <c r="B12" s="326" t="s">
        <v>180</v>
      </c>
      <c r="C12" s="117" t="s">
        <v>376</v>
      </c>
    </row>
    <row r="13" spans="1:5">
      <c r="A13" s="306"/>
      <c r="B13" s="314"/>
      <c r="C13" s="117" t="s">
        <v>377</v>
      </c>
    </row>
    <row r="14" spans="1:5">
      <c r="A14" s="306"/>
      <c r="B14" s="314"/>
      <c r="C14" s="117" t="s">
        <v>378</v>
      </c>
    </row>
    <row r="15" spans="1:5" ht="34.5">
      <c r="A15" s="306"/>
      <c r="B15" s="314"/>
      <c r="C15" s="118" t="s">
        <v>379</v>
      </c>
    </row>
    <row r="16" spans="1:5" ht="14.5" thickBot="1">
      <c r="A16" s="306"/>
      <c r="B16" s="325"/>
      <c r="C16" s="117" t="s">
        <v>275</v>
      </c>
    </row>
    <row r="17" spans="1:3">
      <c r="A17" s="308" t="s">
        <v>181</v>
      </c>
      <c r="B17" s="324" t="s">
        <v>182</v>
      </c>
      <c r="C17" s="120" t="s">
        <v>380</v>
      </c>
    </row>
    <row r="18" spans="1:3">
      <c r="A18" s="309"/>
      <c r="B18" s="314"/>
      <c r="C18" s="121" t="s">
        <v>381</v>
      </c>
    </row>
    <row r="19" spans="1:3">
      <c r="A19" s="309"/>
      <c r="B19" s="314"/>
      <c r="C19" s="121" t="s">
        <v>382</v>
      </c>
    </row>
    <row r="20" spans="1:3" ht="35" thickBot="1">
      <c r="A20" s="310"/>
      <c r="B20" s="325"/>
      <c r="C20" s="122" t="s">
        <v>383</v>
      </c>
    </row>
    <row r="21" spans="1:3">
      <c r="A21" s="308" t="s">
        <v>183</v>
      </c>
      <c r="B21" s="324" t="s">
        <v>384</v>
      </c>
      <c r="C21" s="120" t="s">
        <v>385</v>
      </c>
    </row>
    <row r="22" spans="1:3">
      <c r="A22" s="309"/>
      <c r="B22" s="314"/>
      <c r="C22" s="121" t="s">
        <v>377</v>
      </c>
    </row>
    <row r="23" spans="1:3">
      <c r="A23" s="309"/>
      <c r="B23" s="314"/>
      <c r="C23" s="121" t="s">
        <v>386</v>
      </c>
    </row>
    <row r="24" spans="1:3" ht="23.5" thickBot="1">
      <c r="A24" s="309"/>
      <c r="B24" s="314"/>
      <c r="C24" s="121" t="s">
        <v>387</v>
      </c>
    </row>
    <row r="25" spans="1:3">
      <c r="A25" s="315" t="s">
        <v>184</v>
      </c>
      <c r="B25" s="311" t="s">
        <v>185</v>
      </c>
      <c r="C25" s="120" t="s">
        <v>702</v>
      </c>
    </row>
    <row r="26" spans="1:3">
      <c r="A26" s="316"/>
      <c r="B26" s="312"/>
      <c r="C26" s="121" t="s">
        <v>381</v>
      </c>
    </row>
    <row r="27" spans="1:3">
      <c r="A27" s="316"/>
      <c r="B27" s="312"/>
      <c r="C27" s="121" t="s">
        <v>388</v>
      </c>
    </row>
    <row r="28" spans="1:3" ht="46.5" thickBot="1">
      <c r="A28" s="317"/>
      <c r="B28" s="313"/>
      <c r="C28" s="122" t="s">
        <v>403</v>
      </c>
    </row>
    <row r="29" spans="1:3" ht="23">
      <c r="A29" s="308" t="s">
        <v>186</v>
      </c>
      <c r="B29" s="318" t="s">
        <v>187</v>
      </c>
      <c r="C29" s="124" t="s">
        <v>389</v>
      </c>
    </row>
    <row r="30" spans="1:3">
      <c r="A30" s="309"/>
      <c r="B30" s="319"/>
      <c r="C30" s="123" t="s">
        <v>390</v>
      </c>
    </row>
    <row r="31" spans="1:3">
      <c r="A31" s="309"/>
      <c r="B31" s="319"/>
      <c r="C31" s="123" t="s">
        <v>381</v>
      </c>
    </row>
    <row r="32" spans="1:3" ht="23">
      <c r="A32" s="309"/>
      <c r="B32" s="319"/>
      <c r="C32" s="123" t="s">
        <v>387</v>
      </c>
    </row>
    <row r="33" spans="1:3" ht="14.5" thickBot="1">
      <c r="A33" s="310"/>
      <c r="B33" s="320"/>
      <c r="C33" s="125"/>
    </row>
    <row r="34" spans="1:3">
      <c r="A34" s="306" t="s">
        <v>188</v>
      </c>
      <c r="B34" s="314" t="s">
        <v>391</v>
      </c>
      <c r="C34" s="117" t="s">
        <v>392</v>
      </c>
    </row>
    <row r="35" spans="1:3">
      <c r="A35" s="306"/>
      <c r="B35" s="314"/>
      <c r="C35" s="117" t="s">
        <v>378</v>
      </c>
    </row>
    <row r="36" spans="1:3">
      <c r="A36" s="306"/>
      <c r="B36" s="314"/>
      <c r="C36" s="117" t="s">
        <v>381</v>
      </c>
    </row>
    <row r="37" spans="1:3" ht="46">
      <c r="A37" s="306"/>
      <c r="B37" s="314"/>
      <c r="C37" s="118" t="s">
        <v>393</v>
      </c>
    </row>
    <row r="38" spans="1:3" ht="34.5">
      <c r="A38" s="306"/>
      <c r="B38" s="314"/>
      <c r="C38" s="118" t="s">
        <v>394</v>
      </c>
    </row>
    <row r="39" spans="1:3" ht="14.5" thickBot="1">
      <c r="A39" s="307"/>
      <c r="B39" s="314"/>
      <c r="C39" s="119" t="s">
        <v>275</v>
      </c>
    </row>
    <row r="40" spans="1:3">
      <c r="A40" s="321" t="s">
        <v>173</v>
      </c>
      <c r="B40" s="311" t="s">
        <v>275</v>
      </c>
      <c r="C40" s="117" t="s">
        <v>396</v>
      </c>
    </row>
    <row r="41" spans="1:3">
      <c r="A41" s="322"/>
      <c r="B41" s="312"/>
      <c r="C41" s="117" t="s">
        <v>397</v>
      </c>
    </row>
    <row r="42" spans="1:3">
      <c r="A42" s="322"/>
      <c r="B42" s="312"/>
      <c r="C42" s="117" t="s">
        <v>373</v>
      </c>
    </row>
    <row r="43" spans="1:3" ht="23">
      <c r="A43" s="322"/>
      <c r="B43" s="312"/>
      <c r="C43" s="117" t="s">
        <v>395</v>
      </c>
    </row>
    <row r="44" spans="1:3" ht="14.5" thickBot="1">
      <c r="A44" s="323"/>
      <c r="B44" s="313"/>
      <c r="C44" s="119" t="s">
        <v>275</v>
      </c>
    </row>
    <row r="45" spans="1:3">
      <c r="A45" s="305" t="s">
        <v>189</v>
      </c>
      <c r="B45" s="314" t="s">
        <v>402</v>
      </c>
      <c r="C45" s="117" t="s">
        <v>398</v>
      </c>
    </row>
    <row r="46" spans="1:3">
      <c r="A46" s="306"/>
      <c r="B46" s="314"/>
      <c r="C46" s="118" t="s">
        <v>399</v>
      </c>
    </row>
    <row r="47" spans="1:3">
      <c r="A47" s="306"/>
      <c r="B47" s="314"/>
      <c r="C47" s="117" t="s">
        <v>373</v>
      </c>
    </row>
    <row r="48" spans="1:3" ht="23">
      <c r="A48" s="306"/>
      <c r="B48" s="314"/>
      <c r="C48" s="117" t="s">
        <v>395</v>
      </c>
    </row>
    <row r="49" spans="1:5" ht="14.5" thickBot="1">
      <c r="A49" s="307"/>
      <c r="B49" s="314"/>
      <c r="C49" s="119" t="s">
        <v>275</v>
      </c>
    </row>
    <row r="50" spans="1:5">
      <c r="A50" s="321" t="s">
        <v>190</v>
      </c>
      <c r="B50" s="311" t="s">
        <v>191</v>
      </c>
      <c r="C50" s="117" t="s">
        <v>400</v>
      </c>
    </row>
    <row r="51" spans="1:5">
      <c r="A51" s="322"/>
      <c r="B51" s="312"/>
      <c r="C51" s="117" t="s">
        <v>390</v>
      </c>
    </row>
    <row r="52" spans="1:5">
      <c r="A52" s="322"/>
      <c r="B52" s="312"/>
      <c r="C52" s="117" t="s">
        <v>381</v>
      </c>
    </row>
    <row r="53" spans="1:5" ht="23">
      <c r="A53" s="322"/>
      <c r="B53" s="312"/>
      <c r="C53" s="117" t="s">
        <v>387</v>
      </c>
    </row>
    <row r="54" spans="1:5" ht="23">
      <c r="A54" s="322"/>
      <c r="B54" s="312"/>
      <c r="C54" s="118" t="s">
        <v>404</v>
      </c>
    </row>
    <row r="55" spans="1:5" ht="14.5" thickBot="1">
      <c r="A55" s="322"/>
      <c r="B55" s="312"/>
      <c r="C55" s="118"/>
    </row>
    <row r="56" spans="1:5" ht="23">
      <c r="A56" s="308" t="s">
        <v>192</v>
      </c>
      <c r="B56" s="247" t="s">
        <v>193</v>
      </c>
      <c r="C56" s="120" t="s">
        <v>401</v>
      </c>
    </row>
    <row r="57" spans="1:5" ht="14.5" thickBot="1">
      <c r="A57" s="310"/>
      <c r="B57" s="248"/>
      <c r="C57" s="126" t="s">
        <v>275</v>
      </c>
    </row>
    <row r="58" spans="1:5" ht="35" thickBot="1">
      <c r="A58" s="127" t="s">
        <v>549</v>
      </c>
      <c r="B58" s="249" t="s">
        <v>550</v>
      </c>
      <c r="C58" s="128" t="s">
        <v>548</v>
      </c>
    </row>
    <row r="59" spans="1:5" ht="58" thickBot="1">
      <c r="A59" s="127" t="s">
        <v>3</v>
      </c>
      <c r="B59" s="250" t="s">
        <v>558</v>
      </c>
      <c r="C59" s="128" t="s">
        <v>559</v>
      </c>
    </row>
    <row r="60" spans="1:5">
      <c r="A60" s="129"/>
      <c r="B60" s="251"/>
      <c r="C60" s="130"/>
    </row>
    <row r="61" spans="1:5">
      <c r="A61" s="134" t="s">
        <v>690</v>
      </c>
      <c r="B61" s="252"/>
      <c r="C61" s="135"/>
    </row>
    <row r="62" spans="1:5" s="40" customFormat="1" ht="23">
      <c r="A62" s="136" t="s">
        <v>335</v>
      </c>
      <c r="B62" s="253" t="s">
        <v>541</v>
      </c>
      <c r="C62" s="137" t="s">
        <v>563</v>
      </c>
      <c r="D62" s="42"/>
      <c r="E62" s="42"/>
    </row>
    <row r="63" spans="1:5" ht="23.5">
      <c r="A63" s="138" t="s">
        <v>540</v>
      </c>
      <c r="B63" s="254" t="s">
        <v>542</v>
      </c>
      <c r="C63" s="139" t="s">
        <v>565</v>
      </c>
    </row>
    <row r="64" spans="1:5" ht="35">
      <c r="A64" s="138" t="s">
        <v>543</v>
      </c>
      <c r="B64" s="254" t="s">
        <v>544</v>
      </c>
      <c r="C64" s="139" t="s">
        <v>564</v>
      </c>
    </row>
    <row r="65" spans="1:3" ht="23.5">
      <c r="A65" s="138" t="s">
        <v>342</v>
      </c>
      <c r="B65" s="254" t="s">
        <v>545</v>
      </c>
      <c r="C65" s="139" t="s">
        <v>566</v>
      </c>
    </row>
    <row r="66" spans="1:3">
      <c r="A66" s="138" t="s">
        <v>188</v>
      </c>
      <c r="B66" s="254" t="s">
        <v>546</v>
      </c>
      <c r="C66" s="139" t="s">
        <v>567</v>
      </c>
    </row>
    <row r="67" spans="1:3" ht="23.5">
      <c r="A67" s="138" t="s">
        <v>184</v>
      </c>
      <c r="B67" s="254" t="s">
        <v>547</v>
      </c>
      <c r="C67" s="139" t="s">
        <v>568</v>
      </c>
    </row>
    <row r="70" spans="1:3">
      <c r="C70" s="132"/>
    </row>
  </sheetData>
  <mergeCells count="21">
    <mergeCell ref="B25:B28"/>
    <mergeCell ref="B21:B24"/>
    <mergeCell ref="B17:B20"/>
    <mergeCell ref="B12:B16"/>
    <mergeCell ref="B3:B11"/>
    <mergeCell ref="A3:A11"/>
    <mergeCell ref="A12:A16"/>
    <mergeCell ref="A17:A20"/>
    <mergeCell ref="A56:A57"/>
    <mergeCell ref="B40:B44"/>
    <mergeCell ref="B45:B49"/>
    <mergeCell ref="B50:B55"/>
    <mergeCell ref="A21:A24"/>
    <mergeCell ref="A25:A28"/>
    <mergeCell ref="A29:A33"/>
    <mergeCell ref="A34:A39"/>
    <mergeCell ref="B29:B33"/>
    <mergeCell ref="B34:B39"/>
    <mergeCell ref="A40:A44"/>
    <mergeCell ref="A45:A49"/>
    <mergeCell ref="A50:A55"/>
  </mergeCells>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7"/>
  <sheetViews>
    <sheetView workbookViewId="0">
      <selection activeCell="C3" sqref="C3"/>
    </sheetView>
  </sheetViews>
  <sheetFormatPr defaultRowHeight="14"/>
  <cols>
    <col min="1" max="1" width="116.1640625" style="30" customWidth="1"/>
    <col min="3" max="3" width="19.5" customWidth="1"/>
    <col min="4" max="4" width="8.83203125" customWidth="1"/>
  </cols>
  <sheetData>
    <row r="1" spans="1:1">
      <c r="A1" s="218" t="s">
        <v>129</v>
      </c>
    </row>
    <row r="2" spans="1:1" ht="25.5">
      <c r="A2" s="154" t="s">
        <v>130</v>
      </c>
    </row>
    <row r="3" spans="1:1" ht="38">
      <c r="A3" s="154" t="s">
        <v>203</v>
      </c>
    </row>
    <row r="4" spans="1:1" ht="38">
      <c r="A4" s="154" t="s">
        <v>204</v>
      </c>
    </row>
    <row r="5" spans="1:1" ht="38">
      <c r="A5" s="154" t="s">
        <v>202</v>
      </c>
    </row>
    <row r="6" spans="1:1" ht="25.5">
      <c r="A6" s="154" t="s">
        <v>205</v>
      </c>
    </row>
    <row r="7" spans="1:1">
      <c r="A7" s="154"/>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146"/>
  <sheetViews>
    <sheetView topLeftCell="A2" workbookViewId="0">
      <selection activeCell="C6" sqref="C6:C7"/>
    </sheetView>
  </sheetViews>
  <sheetFormatPr defaultColWidth="8.83203125" defaultRowHeight="14"/>
  <cols>
    <col min="1" max="1" width="11" style="211" bestFit="1" customWidth="1"/>
    <col min="2" max="2" width="36" style="213" customWidth="1"/>
    <col min="3" max="3" width="49.6640625" style="213" customWidth="1"/>
    <col min="4" max="4" width="8.83203125" style="29"/>
    <col min="5" max="5" width="25.25" style="151" bestFit="1" customWidth="1"/>
    <col min="6" max="6" width="39.4140625" style="151" customWidth="1"/>
    <col min="7" max="7" width="21.9140625" style="151" bestFit="1" customWidth="1"/>
    <col min="8" max="16384" width="8.83203125" style="29"/>
  </cols>
  <sheetData>
    <row r="1" spans="1:7" ht="26.5" thickBot="1">
      <c r="A1" s="194" t="s">
        <v>293</v>
      </c>
      <c r="B1" s="195" t="s">
        <v>294</v>
      </c>
      <c r="C1" s="195" t="s">
        <v>295</v>
      </c>
      <c r="E1" s="258"/>
      <c r="F1" s="259"/>
    </row>
    <row r="2" spans="1:7" ht="37.5">
      <c r="A2" s="328" t="s">
        <v>296</v>
      </c>
      <c r="B2" s="331" t="s">
        <v>297</v>
      </c>
      <c r="C2" s="198" t="s">
        <v>298</v>
      </c>
      <c r="E2" s="223" t="s">
        <v>729</v>
      </c>
      <c r="F2" s="224" t="s">
        <v>164</v>
      </c>
      <c r="G2" s="223" t="s">
        <v>730</v>
      </c>
    </row>
    <row r="3" spans="1:7" ht="100">
      <c r="A3" s="329"/>
      <c r="B3" s="332"/>
      <c r="C3" s="198" t="s">
        <v>299</v>
      </c>
      <c r="E3" s="162" t="s">
        <v>183</v>
      </c>
      <c r="F3" s="153" t="s">
        <v>731</v>
      </c>
      <c r="G3" s="162" t="s">
        <v>732</v>
      </c>
    </row>
    <row r="4" spans="1:7" ht="25">
      <c r="A4" s="329"/>
      <c r="B4" s="332"/>
      <c r="C4" s="198" t="s">
        <v>300</v>
      </c>
      <c r="E4" s="162" t="s">
        <v>171</v>
      </c>
      <c r="F4" s="153" t="s">
        <v>733</v>
      </c>
      <c r="G4" s="162" t="s">
        <v>734</v>
      </c>
    </row>
    <row r="5" spans="1:7" ht="50">
      <c r="A5" s="329"/>
      <c r="B5" s="332"/>
      <c r="C5" s="198" t="s">
        <v>275</v>
      </c>
      <c r="E5" s="162" t="s">
        <v>601</v>
      </c>
      <c r="F5" s="155" t="s">
        <v>735</v>
      </c>
      <c r="G5" s="162" t="s">
        <v>736</v>
      </c>
    </row>
    <row r="6" spans="1:7">
      <c r="A6" s="329"/>
      <c r="B6" s="332"/>
      <c r="C6" s="198" t="s">
        <v>838</v>
      </c>
      <c r="E6" s="162" t="s">
        <v>602</v>
      </c>
      <c r="F6" s="153" t="s">
        <v>737</v>
      </c>
      <c r="G6" s="162" t="s">
        <v>738</v>
      </c>
    </row>
    <row r="7" spans="1:7">
      <c r="A7" s="329"/>
      <c r="B7" s="332"/>
      <c r="C7" s="198" t="s">
        <v>301</v>
      </c>
      <c r="E7" s="162" t="s">
        <v>169</v>
      </c>
      <c r="F7" s="153" t="s">
        <v>739</v>
      </c>
      <c r="G7" s="162" t="s">
        <v>740</v>
      </c>
    </row>
    <row r="8" spans="1:7">
      <c r="A8" s="329"/>
      <c r="B8" s="332"/>
      <c r="C8" s="198" t="s">
        <v>839</v>
      </c>
      <c r="E8" s="162" t="s">
        <v>181</v>
      </c>
      <c r="F8" s="153" t="s">
        <v>741</v>
      </c>
      <c r="G8" s="162" t="s">
        <v>742</v>
      </c>
    </row>
    <row r="9" spans="1:7">
      <c r="A9" s="329"/>
      <c r="B9" s="332"/>
      <c r="C9" s="198" t="s">
        <v>302</v>
      </c>
      <c r="E9" s="162" t="s">
        <v>560</v>
      </c>
      <c r="F9" s="153" t="s">
        <v>727</v>
      </c>
      <c r="G9" s="162" t="s">
        <v>743</v>
      </c>
    </row>
    <row r="10" spans="1:7" ht="25.5" thickBot="1">
      <c r="A10" s="330"/>
      <c r="B10" s="333"/>
      <c r="C10" s="200" t="s">
        <v>275</v>
      </c>
      <c r="E10" s="162" t="s">
        <v>143</v>
      </c>
      <c r="F10" s="153" t="s">
        <v>744</v>
      </c>
      <c r="G10" s="160" t="s">
        <v>745</v>
      </c>
    </row>
    <row r="11" spans="1:7" ht="37.5">
      <c r="A11" s="328" t="s">
        <v>303</v>
      </c>
      <c r="B11" s="331" t="s">
        <v>304</v>
      </c>
      <c r="C11" s="198" t="s">
        <v>305</v>
      </c>
      <c r="E11" s="162" t="s">
        <v>156</v>
      </c>
      <c r="F11" s="162" t="s">
        <v>746</v>
      </c>
      <c r="G11" s="162" t="s">
        <v>743</v>
      </c>
    </row>
    <row r="12" spans="1:7" ht="25">
      <c r="A12" s="329"/>
      <c r="B12" s="332"/>
      <c r="C12" s="198" t="s">
        <v>300</v>
      </c>
      <c r="E12" s="162" t="s">
        <v>173</v>
      </c>
      <c r="F12" s="162" t="s">
        <v>726</v>
      </c>
      <c r="G12" s="162" t="s">
        <v>747</v>
      </c>
    </row>
    <row r="13" spans="1:7" ht="37.5">
      <c r="A13" s="329"/>
      <c r="B13" s="332"/>
      <c r="C13" s="198" t="s">
        <v>275</v>
      </c>
      <c r="E13" s="162" t="s">
        <v>179</v>
      </c>
      <c r="F13" s="153" t="s">
        <v>748</v>
      </c>
      <c r="G13" s="162" t="s">
        <v>745</v>
      </c>
    </row>
    <row r="14" spans="1:7">
      <c r="A14" s="329"/>
      <c r="B14" s="332"/>
      <c r="C14" s="198" t="s">
        <v>838</v>
      </c>
      <c r="E14" s="162" t="s">
        <v>165</v>
      </c>
      <c r="F14" s="153" t="s">
        <v>728</v>
      </c>
      <c r="G14" s="214" t="s">
        <v>749</v>
      </c>
    </row>
    <row r="15" spans="1:7">
      <c r="A15" s="329"/>
      <c r="B15" s="332"/>
      <c r="C15" s="198" t="s">
        <v>306</v>
      </c>
      <c r="E15" s="31"/>
      <c r="F15" s="31"/>
    </row>
    <row r="16" spans="1:7">
      <c r="A16" s="329"/>
      <c r="B16" s="332"/>
      <c r="C16" s="198" t="s">
        <v>839</v>
      </c>
      <c r="E16" s="31"/>
      <c r="F16" s="31"/>
    </row>
    <row r="17" spans="1:6">
      <c r="A17" s="329"/>
      <c r="B17" s="332"/>
      <c r="C17" s="198" t="s">
        <v>302</v>
      </c>
      <c r="E17" s="31"/>
      <c r="F17" s="31"/>
    </row>
    <row r="18" spans="1:6">
      <c r="A18" s="329"/>
      <c r="B18" s="332"/>
      <c r="C18" s="198" t="s">
        <v>275</v>
      </c>
      <c r="E18" s="31"/>
      <c r="F18" s="31"/>
    </row>
    <row r="19" spans="1:6" ht="14.5" thickBot="1">
      <c r="A19" s="330"/>
      <c r="B19" s="333"/>
      <c r="C19" s="200" t="s">
        <v>275</v>
      </c>
      <c r="E19" s="31"/>
      <c r="F19" s="31"/>
    </row>
    <row r="20" spans="1:6" ht="25">
      <c r="A20" s="328" t="s">
        <v>167</v>
      </c>
      <c r="B20" s="331" t="s">
        <v>307</v>
      </c>
      <c r="C20" s="198" t="s">
        <v>308</v>
      </c>
      <c r="E20" s="31"/>
      <c r="F20" s="31"/>
    </row>
    <row r="21" spans="1:6" ht="25">
      <c r="A21" s="329"/>
      <c r="B21" s="332"/>
      <c r="C21" s="198" t="s">
        <v>840</v>
      </c>
      <c r="E21" s="31"/>
      <c r="F21" s="31"/>
    </row>
    <row r="22" spans="1:6" ht="26">
      <c r="A22" s="329"/>
      <c r="B22" s="332"/>
      <c r="C22" s="199" t="s">
        <v>309</v>
      </c>
      <c r="E22" s="31"/>
      <c r="F22" s="31"/>
    </row>
    <row r="23" spans="1:6">
      <c r="A23" s="329"/>
      <c r="B23" s="332"/>
      <c r="C23" s="198" t="s">
        <v>275</v>
      </c>
      <c r="E23" s="31"/>
      <c r="F23" s="31"/>
    </row>
    <row r="24" spans="1:6">
      <c r="A24" s="329"/>
      <c r="B24" s="332"/>
      <c r="C24" s="198" t="s">
        <v>838</v>
      </c>
      <c r="E24" s="31"/>
      <c r="F24" s="31"/>
    </row>
    <row r="25" spans="1:6">
      <c r="A25" s="329"/>
      <c r="B25" s="332"/>
      <c r="C25" s="198" t="s">
        <v>310</v>
      </c>
      <c r="E25" s="31"/>
      <c r="F25" s="31"/>
    </row>
    <row r="26" spans="1:6">
      <c r="A26" s="329"/>
      <c r="B26" s="332"/>
      <c r="C26" s="198" t="s">
        <v>839</v>
      </c>
      <c r="E26" s="31"/>
      <c r="F26" s="31"/>
    </row>
    <row r="27" spans="1:6">
      <c r="A27" s="329"/>
      <c r="B27" s="332"/>
      <c r="C27" s="198" t="s">
        <v>302</v>
      </c>
      <c r="E27" s="31"/>
      <c r="F27" s="31"/>
    </row>
    <row r="28" spans="1:6" ht="14.5" thickBot="1">
      <c r="A28" s="330"/>
      <c r="B28" s="333"/>
      <c r="C28" s="200" t="s">
        <v>275</v>
      </c>
      <c r="E28" s="31"/>
      <c r="F28" s="31"/>
    </row>
    <row r="29" spans="1:6" ht="37.5">
      <c r="A29" s="328" t="s">
        <v>311</v>
      </c>
      <c r="B29" s="331" t="s">
        <v>312</v>
      </c>
      <c r="C29" s="198" t="s">
        <v>313</v>
      </c>
      <c r="E29" s="31"/>
      <c r="F29" s="31"/>
    </row>
    <row r="30" spans="1:6" ht="25">
      <c r="A30" s="329"/>
      <c r="B30" s="332"/>
      <c r="C30" s="198" t="s">
        <v>300</v>
      </c>
      <c r="E30" s="31"/>
      <c r="F30" s="31"/>
    </row>
    <row r="31" spans="1:6">
      <c r="A31" s="329"/>
      <c r="B31" s="332"/>
      <c r="C31" s="198" t="s">
        <v>275</v>
      </c>
      <c r="E31" s="31"/>
      <c r="F31" s="31"/>
    </row>
    <row r="32" spans="1:6">
      <c r="A32" s="329"/>
      <c r="B32" s="332"/>
      <c r="C32" s="198" t="s">
        <v>838</v>
      </c>
      <c r="E32" s="31"/>
      <c r="F32" s="31"/>
    </row>
    <row r="33" spans="1:3">
      <c r="A33" s="329"/>
      <c r="B33" s="332"/>
      <c r="C33" s="198" t="s">
        <v>301</v>
      </c>
    </row>
    <row r="34" spans="1:3">
      <c r="A34" s="329"/>
      <c r="B34" s="332"/>
      <c r="C34" s="198" t="s">
        <v>839</v>
      </c>
    </row>
    <row r="35" spans="1:3">
      <c r="A35" s="329"/>
      <c r="B35" s="332"/>
      <c r="C35" s="198" t="s">
        <v>302</v>
      </c>
    </row>
    <row r="36" spans="1:3" ht="14.5" thickBot="1">
      <c r="A36" s="330"/>
      <c r="B36" s="333"/>
      <c r="C36" s="200" t="s">
        <v>275</v>
      </c>
    </row>
    <row r="37" spans="1:3" ht="62.5">
      <c r="A37" s="328" t="s">
        <v>314</v>
      </c>
      <c r="B37" s="331" t="s">
        <v>315</v>
      </c>
      <c r="C37" s="201" t="s">
        <v>316</v>
      </c>
    </row>
    <row r="38" spans="1:3" ht="26">
      <c r="A38" s="329"/>
      <c r="B38" s="332"/>
      <c r="C38" s="198" t="s">
        <v>841</v>
      </c>
    </row>
    <row r="39" spans="1:3">
      <c r="A39" s="329"/>
      <c r="B39" s="332"/>
      <c r="C39" s="198" t="s">
        <v>275</v>
      </c>
    </row>
    <row r="40" spans="1:3">
      <c r="A40" s="329"/>
      <c r="B40" s="332"/>
      <c r="C40" s="198" t="s">
        <v>838</v>
      </c>
    </row>
    <row r="41" spans="1:3">
      <c r="A41" s="329"/>
      <c r="B41" s="332"/>
      <c r="C41" s="198" t="s">
        <v>317</v>
      </c>
    </row>
    <row r="42" spans="1:3">
      <c r="A42" s="329"/>
      <c r="B42" s="332"/>
      <c r="C42" s="198" t="s">
        <v>839</v>
      </c>
    </row>
    <row r="43" spans="1:3">
      <c r="A43" s="329"/>
      <c r="B43" s="332"/>
      <c r="C43" s="198" t="s">
        <v>318</v>
      </c>
    </row>
    <row r="44" spans="1:3" ht="14.5" thickBot="1">
      <c r="A44" s="330"/>
      <c r="B44" s="333"/>
      <c r="C44" s="200" t="s">
        <v>275</v>
      </c>
    </row>
    <row r="45" spans="1:3" ht="50">
      <c r="A45" s="328" t="s">
        <v>319</v>
      </c>
      <c r="B45" s="331" t="s">
        <v>320</v>
      </c>
      <c r="C45" s="198" t="s">
        <v>321</v>
      </c>
    </row>
    <row r="46" spans="1:3" ht="25">
      <c r="A46" s="329"/>
      <c r="B46" s="332"/>
      <c r="C46" s="198" t="s">
        <v>300</v>
      </c>
    </row>
    <row r="47" spans="1:3">
      <c r="A47" s="329"/>
      <c r="B47" s="332"/>
      <c r="C47" s="198" t="s">
        <v>275</v>
      </c>
    </row>
    <row r="48" spans="1:3">
      <c r="A48" s="329"/>
      <c r="B48" s="332"/>
      <c r="C48" s="198" t="s">
        <v>838</v>
      </c>
    </row>
    <row r="49" spans="1:3">
      <c r="A49" s="329"/>
      <c r="B49" s="332"/>
      <c r="C49" s="198" t="s">
        <v>306</v>
      </c>
    </row>
    <row r="50" spans="1:3">
      <c r="A50" s="329"/>
      <c r="B50" s="332"/>
      <c r="C50" s="198" t="s">
        <v>839</v>
      </c>
    </row>
    <row r="51" spans="1:3">
      <c r="A51" s="329"/>
      <c r="B51" s="332"/>
      <c r="C51" s="198" t="s">
        <v>302</v>
      </c>
    </row>
    <row r="52" spans="1:3" ht="14.5" thickBot="1">
      <c r="A52" s="330"/>
      <c r="B52" s="333"/>
      <c r="C52" s="200" t="s">
        <v>275</v>
      </c>
    </row>
    <row r="53" spans="1:3" ht="25">
      <c r="A53" s="328" t="s">
        <v>322</v>
      </c>
      <c r="B53" s="331" t="s">
        <v>323</v>
      </c>
      <c r="C53" s="198" t="s">
        <v>324</v>
      </c>
    </row>
    <row r="54" spans="1:3" ht="25">
      <c r="A54" s="329"/>
      <c r="B54" s="332"/>
      <c r="C54" s="198" t="s">
        <v>300</v>
      </c>
    </row>
    <row r="55" spans="1:3">
      <c r="A55" s="329"/>
      <c r="B55" s="332"/>
      <c r="C55" s="198" t="s">
        <v>275</v>
      </c>
    </row>
    <row r="56" spans="1:3">
      <c r="A56" s="329"/>
      <c r="B56" s="332"/>
      <c r="C56" s="198" t="s">
        <v>838</v>
      </c>
    </row>
    <row r="57" spans="1:3">
      <c r="A57" s="329"/>
      <c r="B57" s="332"/>
      <c r="C57" s="198" t="s">
        <v>325</v>
      </c>
    </row>
    <row r="58" spans="1:3">
      <c r="A58" s="329"/>
      <c r="B58" s="332"/>
      <c r="C58" s="198" t="s">
        <v>839</v>
      </c>
    </row>
    <row r="59" spans="1:3">
      <c r="A59" s="329"/>
      <c r="B59" s="332"/>
      <c r="C59" s="198" t="s">
        <v>302</v>
      </c>
    </row>
    <row r="60" spans="1:3" ht="14.5" thickBot="1">
      <c r="A60" s="330"/>
      <c r="B60" s="333"/>
      <c r="C60" s="200" t="s">
        <v>275</v>
      </c>
    </row>
    <row r="61" spans="1:3" ht="25">
      <c r="A61" s="328" t="s">
        <v>326</v>
      </c>
      <c r="B61" s="331" t="s">
        <v>327</v>
      </c>
      <c r="C61" s="198" t="s">
        <v>328</v>
      </c>
    </row>
    <row r="62" spans="1:3" ht="25">
      <c r="A62" s="329"/>
      <c r="B62" s="332"/>
      <c r="C62" s="198" t="s">
        <v>840</v>
      </c>
    </row>
    <row r="63" spans="1:3">
      <c r="A63" s="329"/>
      <c r="B63" s="332"/>
      <c r="C63" s="199" t="s">
        <v>275</v>
      </c>
    </row>
    <row r="64" spans="1:3">
      <c r="A64" s="329"/>
      <c r="B64" s="332"/>
      <c r="C64" s="198" t="s">
        <v>838</v>
      </c>
    </row>
    <row r="65" spans="1:3">
      <c r="A65" s="329"/>
      <c r="B65" s="332"/>
      <c r="C65" s="198" t="s">
        <v>329</v>
      </c>
    </row>
    <row r="66" spans="1:3">
      <c r="A66" s="329"/>
      <c r="B66" s="332"/>
      <c r="C66" s="198" t="s">
        <v>839</v>
      </c>
    </row>
    <row r="67" spans="1:3">
      <c r="A67" s="329"/>
      <c r="B67" s="332"/>
      <c r="C67" s="198" t="s">
        <v>302</v>
      </c>
    </row>
    <row r="68" spans="1:3">
      <c r="A68" s="329"/>
      <c r="B68" s="332"/>
      <c r="C68" s="199" t="s">
        <v>275</v>
      </c>
    </row>
    <row r="69" spans="1:3">
      <c r="A69" s="329"/>
      <c r="B69" s="332"/>
      <c r="C69" s="199"/>
    </row>
    <row r="70" spans="1:3" ht="14.5" thickBot="1">
      <c r="A70" s="330"/>
      <c r="B70" s="333"/>
      <c r="C70" s="200" t="s">
        <v>275</v>
      </c>
    </row>
    <row r="71" spans="1:3">
      <c r="A71" s="328" t="s">
        <v>605</v>
      </c>
      <c r="B71" s="331" t="s">
        <v>656</v>
      </c>
      <c r="C71" s="198" t="s">
        <v>878</v>
      </c>
    </row>
    <row r="72" spans="1:3">
      <c r="A72" s="329"/>
      <c r="B72" s="332"/>
      <c r="C72" s="198" t="s">
        <v>879</v>
      </c>
    </row>
    <row r="73" spans="1:3">
      <c r="A73" s="329"/>
      <c r="B73" s="332"/>
      <c r="C73" s="198" t="s">
        <v>275</v>
      </c>
    </row>
    <row r="74" spans="1:3">
      <c r="A74" s="329"/>
      <c r="B74" s="332"/>
      <c r="C74" s="198" t="s">
        <v>838</v>
      </c>
    </row>
    <row r="75" spans="1:3">
      <c r="A75" s="329"/>
      <c r="B75" s="332"/>
      <c r="C75" s="198" t="s">
        <v>331</v>
      </c>
    </row>
    <row r="76" spans="1:3">
      <c r="A76" s="329"/>
      <c r="B76" s="332"/>
      <c r="C76" s="198"/>
    </row>
    <row r="77" spans="1:3">
      <c r="A77" s="329"/>
      <c r="B77" s="332"/>
      <c r="C77" s="198"/>
    </row>
    <row r="78" spans="1:3" ht="14.5" thickBot="1">
      <c r="A78" s="330"/>
      <c r="B78" s="333"/>
      <c r="C78" s="200" t="s">
        <v>275</v>
      </c>
    </row>
    <row r="79" spans="1:3" ht="25">
      <c r="A79" s="220" t="s">
        <v>275</v>
      </c>
      <c r="B79" s="198" t="s">
        <v>724</v>
      </c>
      <c r="C79" s="198" t="s">
        <v>334</v>
      </c>
    </row>
    <row r="80" spans="1:3" ht="25">
      <c r="A80" s="220" t="s">
        <v>332</v>
      </c>
      <c r="B80" s="198" t="s">
        <v>333</v>
      </c>
      <c r="C80" s="198" t="s">
        <v>840</v>
      </c>
    </row>
    <row r="81" spans="1:3">
      <c r="A81" s="221"/>
      <c r="B81" s="202"/>
      <c r="C81" s="198" t="s">
        <v>275</v>
      </c>
    </row>
    <row r="82" spans="1:3">
      <c r="A82" s="221"/>
      <c r="B82" s="202"/>
      <c r="C82" s="198" t="s">
        <v>838</v>
      </c>
    </row>
    <row r="83" spans="1:3">
      <c r="A83" s="221"/>
      <c r="B83" s="202"/>
      <c r="C83" s="198" t="s">
        <v>310</v>
      </c>
    </row>
    <row r="84" spans="1:3">
      <c r="A84" s="221"/>
      <c r="B84" s="202"/>
      <c r="C84" s="198" t="s">
        <v>839</v>
      </c>
    </row>
    <row r="85" spans="1:3">
      <c r="A85" s="221"/>
      <c r="B85" s="202"/>
      <c r="C85" s="198" t="s">
        <v>302</v>
      </c>
    </row>
    <row r="86" spans="1:3" ht="14.5" thickBot="1">
      <c r="A86" s="222"/>
      <c r="B86" s="203"/>
      <c r="C86" s="200" t="s">
        <v>275</v>
      </c>
    </row>
    <row r="87" spans="1:3">
      <c r="A87" s="328" t="s">
        <v>335</v>
      </c>
      <c r="B87" s="201" t="s">
        <v>336</v>
      </c>
      <c r="C87" s="201" t="s">
        <v>339</v>
      </c>
    </row>
    <row r="88" spans="1:3">
      <c r="A88" s="329"/>
      <c r="B88" s="198" t="s">
        <v>337</v>
      </c>
      <c r="C88" s="198" t="s">
        <v>340</v>
      </c>
    </row>
    <row r="89" spans="1:3">
      <c r="A89" s="329"/>
      <c r="B89" s="198" t="s">
        <v>338</v>
      </c>
      <c r="C89" s="198" t="s">
        <v>275</v>
      </c>
    </row>
    <row r="90" spans="1:3">
      <c r="A90" s="329"/>
      <c r="B90" s="204"/>
      <c r="C90" s="198" t="s">
        <v>838</v>
      </c>
    </row>
    <row r="91" spans="1:3">
      <c r="A91" s="329"/>
      <c r="B91" s="204"/>
      <c r="C91" s="198" t="s">
        <v>341</v>
      </c>
    </row>
    <row r="92" spans="1:3">
      <c r="A92" s="329"/>
      <c r="B92" s="204"/>
      <c r="C92" s="198" t="s">
        <v>839</v>
      </c>
    </row>
    <row r="93" spans="1:3">
      <c r="A93" s="329"/>
      <c r="B93" s="204"/>
      <c r="C93" s="198" t="s">
        <v>302</v>
      </c>
    </row>
    <row r="94" spans="1:3" ht="14.5" thickBot="1">
      <c r="A94" s="330"/>
      <c r="B94" s="205"/>
      <c r="C94" s="200" t="s">
        <v>275</v>
      </c>
    </row>
    <row r="95" spans="1:3" ht="50.5">
      <c r="A95" s="328" t="s">
        <v>342</v>
      </c>
      <c r="B95" s="331" t="s">
        <v>343</v>
      </c>
      <c r="C95" s="198" t="s">
        <v>842</v>
      </c>
    </row>
    <row r="96" spans="1:3">
      <c r="A96" s="329"/>
      <c r="B96" s="332"/>
      <c r="C96" s="198" t="s">
        <v>275</v>
      </c>
    </row>
    <row r="97" spans="1:3">
      <c r="A97" s="329"/>
      <c r="B97" s="332"/>
      <c r="C97" s="198" t="s">
        <v>838</v>
      </c>
    </row>
    <row r="98" spans="1:3">
      <c r="A98" s="329"/>
      <c r="B98" s="332"/>
      <c r="C98" s="198" t="s">
        <v>344</v>
      </c>
    </row>
    <row r="99" spans="1:3">
      <c r="A99" s="329"/>
      <c r="B99" s="332"/>
      <c r="C99" s="198" t="s">
        <v>839</v>
      </c>
    </row>
    <row r="100" spans="1:3">
      <c r="A100" s="329"/>
      <c r="B100" s="332"/>
      <c r="C100" s="198" t="s">
        <v>165</v>
      </c>
    </row>
    <row r="101" spans="1:3">
      <c r="A101" s="329"/>
      <c r="B101" s="332"/>
      <c r="C101" s="198" t="s">
        <v>275</v>
      </c>
    </row>
    <row r="102" spans="1:3">
      <c r="A102" s="329"/>
      <c r="B102" s="332"/>
      <c r="C102" s="199"/>
    </row>
    <row r="103" spans="1:3" ht="14.5" thickBot="1">
      <c r="A103" s="330"/>
      <c r="B103" s="333"/>
      <c r="C103" s="200" t="s">
        <v>275</v>
      </c>
    </row>
    <row r="104" spans="1:3" ht="25">
      <c r="A104" s="328" t="s">
        <v>345</v>
      </c>
      <c r="B104" s="331" t="s">
        <v>346</v>
      </c>
      <c r="C104" s="198" t="s">
        <v>347</v>
      </c>
    </row>
    <row r="105" spans="1:3" ht="25">
      <c r="A105" s="329"/>
      <c r="B105" s="332"/>
      <c r="C105" s="198" t="s">
        <v>840</v>
      </c>
    </row>
    <row r="106" spans="1:3">
      <c r="A106" s="329"/>
      <c r="B106" s="332"/>
      <c r="C106" s="198" t="s">
        <v>275</v>
      </c>
    </row>
    <row r="107" spans="1:3">
      <c r="A107" s="329"/>
      <c r="B107" s="332"/>
      <c r="C107" s="198" t="s">
        <v>838</v>
      </c>
    </row>
    <row r="108" spans="1:3">
      <c r="A108" s="329"/>
      <c r="B108" s="332"/>
      <c r="C108" s="198" t="s">
        <v>310</v>
      </c>
    </row>
    <row r="109" spans="1:3">
      <c r="A109" s="329"/>
      <c r="B109" s="332"/>
      <c r="C109" s="198" t="s">
        <v>839</v>
      </c>
    </row>
    <row r="110" spans="1:3">
      <c r="A110" s="329"/>
      <c r="B110" s="332"/>
      <c r="C110" s="198" t="s">
        <v>302</v>
      </c>
    </row>
    <row r="111" spans="1:3" ht="14.5" thickBot="1">
      <c r="A111" s="330"/>
      <c r="B111" s="333"/>
      <c r="C111" s="200" t="s">
        <v>275</v>
      </c>
    </row>
    <row r="112" spans="1:3" ht="50">
      <c r="A112" s="328" t="s">
        <v>348</v>
      </c>
      <c r="B112" s="334" t="s">
        <v>349</v>
      </c>
      <c r="C112" s="198" t="s">
        <v>843</v>
      </c>
    </row>
    <row r="113" spans="1:3">
      <c r="A113" s="329"/>
      <c r="B113" s="335"/>
      <c r="C113" s="199" t="s">
        <v>275</v>
      </c>
    </row>
    <row r="114" spans="1:3">
      <c r="A114" s="329"/>
      <c r="B114" s="335"/>
      <c r="C114" s="198" t="s">
        <v>838</v>
      </c>
    </row>
    <row r="115" spans="1:3">
      <c r="A115" s="329"/>
      <c r="B115" s="335"/>
      <c r="C115" s="198" t="s">
        <v>344</v>
      </c>
    </row>
    <row r="116" spans="1:3">
      <c r="A116" s="329"/>
      <c r="B116" s="335"/>
      <c r="C116" s="198" t="s">
        <v>839</v>
      </c>
    </row>
    <row r="117" spans="1:3">
      <c r="A117" s="329"/>
      <c r="B117" s="335"/>
      <c r="C117" s="198" t="s">
        <v>165</v>
      </c>
    </row>
    <row r="118" spans="1:3" ht="14.5" thickBot="1">
      <c r="A118" s="330"/>
      <c r="B118" s="336"/>
      <c r="C118" s="200" t="s">
        <v>275</v>
      </c>
    </row>
    <row r="119" spans="1:3">
      <c r="A119" s="328" t="s">
        <v>350</v>
      </c>
      <c r="B119" s="331" t="s">
        <v>351</v>
      </c>
      <c r="C119" s="198" t="s">
        <v>352</v>
      </c>
    </row>
    <row r="120" spans="1:3" ht="25">
      <c r="A120" s="329"/>
      <c r="B120" s="332"/>
      <c r="C120" s="198" t="s">
        <v>353</v>
      </c>
    </row>
    <row r="121" spans="1:3" ht="25">
      <c r="A121" s="329"/>
      <c r="B121" s="332"/>
      <c r="C121" s="198" t="s">
        <v>840</v>
      </c>
    </row>
    <row r="122" spans="1:3">
      <c r="A122" s="329"/>
      <c r="B122" s="332"/>
      <c r="C122" s="199" t="s">
        <v>275</v>
      </c>
    </row>
    <row r="123" spans="1:3">
      <c r="A123" s="329"/>
      <c r="B123" s="332"/>
      <c r="C123" s="198" t="s">
        <v>838</v>
      </c>
    </row>
    <row r="124" spans="1:3">
      <c r="A124" s="329"/>
      <c r="B124" s="332"/>
      <c r="C124" s="198" t="s">
        <v>310</v>
      </c>
    </row>
    <row r="125" spans="1:3">
      <c r="A125" s="329"/>
      <c r="B125" s="332"/>
      <c r="C125" s="198" t="s">
        <v>839</v>
      </c>
    </row>
    <row r="126" spans="1:3">
      <c r="A126" s="329"/>
      <c r="B126" s="332"/>
      <c r="C126" s="198" t="s">
        <v>302</v>
      </c>
    </row>
    <row r="127" spans="1:3" ht="14.5" thickBot="1">
      <c r="A127" s="330"/>
      <c r="B127" s="333"/>
      <c r="C127" s="200" t="s">
        <v>275</v>
      </c>
    </row>
    <row r="128" spans="1:3">
      <c r="A128" s="340" t="s">
        <v>354</v>
      </c>
      <c r="B128" s="343" t="s">
        <v>355</v>
      </c>
      <c r="C128" s="206" t="s">
        <v>356</v>
      </c>
    </row>
    <row r="129" spans="1:3">
      <c r="A129" s="341"/>
      <c r="B129" s="338"/>
      <c r="C129" s="207" t="s">
        <v>357</v>
      </c>
    </row>
    <row r="130" spans="1:3">
      <c r="A130" s="341"/>
      <c r="B130" s="338"/>
      <c r="C130" s="208" t="s">
        <v>844</v>
      </c>
    </row>
    <row r="131" spans="1:3">
      <c r="A131" s="341"/>
      <c r="B131" s="338"/>
      <c r="C131" s="208" t="s">
        <v>275</v>
      </c>
    </row>
    <row r="132" spans="1:3">
      <c r="A132" s="341"/>
      <c r="B132" s="338"/>
      <c r="C132" s="208" t="s">
        <v>838</v>
      </c>
    </row>
    <row r="133" spans="1:3">
      <c r="A133" s="341"/>
      <c r="B133" s="338"/>
      <c r="C133" s="207" t="s">
        <v>357</v>
      </c>
    </row>
    <row r="134" spans="1:3" ht="14.5" thickBot="1">
      <c r="A134" s="342"/>
      <c r="B134" s="344"/>
      <c r="C134" s="209" t="s">
        <v>275</v>
      </c>
    </row>
    <row r="135" spans="1:3">
      <c r="A135" s="328" t="s">
        <v>358</v>
      </c>
      <c r="B135" s="337" t="s">
        <v>359</v>
      </c>
      <c r="C135" s="196" t="s">
        <v>360</v>
      </c>
    </row>
    <row r="136" spans="1:3" ht="25">
      <c r="A136" s="329"/>
      <c r="B136" s="338"/>
      <c r="C136" s="196" t="s">
        <v>840</v>
      </c>
    </row>
    <row r="137" spans="1:3">
      <c r="A137" s="329"/>
      <c r="B137" s="338"/>
      <c r="C137" s="210"/>
    </row>
    <row r="138" spans="1:3">
      <c r="A138" s="329"/>
      <c r="B138" s="338"/>
      <c r="C138" s="196" t="s">
        <v>275</v>
      </c>
    </row>
    <row r="139" spans="1:3">
      <c r="A139" s="329"/>
      <c r="B139" s="338"/>
      <c r="C139" s="196" t="s">
        <v>838</v>
      </c>
    </row>
    <row r="140" spans="1:3">
      <c r="A140" s="329"/>
      <c r="B140" s="338"/>
      <c r="C140" s="196" t="s">
        <v>329</v>
      </c>
    </row>
    <row r="141" spans="1:3">
      <c r="A141" s="329"/>
      <c r="B141" s="338"/>
      <c r="C141" s="196" t="s">
        <v>839</v>
      </c>
    </row>
    <row r="142" spans="1:3">
      <c r="A142" s="329"/>
      <c r="B142" s="338"/>
      <c r="C142" s="196" t="s">
        <v>302</v>
      </c>
    </row>
    <row r="143" spans="1:3" ht="14.5" thickBot="1">
      <c r="A143" s="330"/>
      <c r="B143" s="339"/>
      <c r="C143" s="197" t="s">
        <v>275</v>
      </c>
    </row>
    <row r="146" spans="2:3">
      <c r="B146" s="212" t="s">
        <v>703</v>
      </c>
      <c r="C146" s="212"/>
    </row>
  </sheetData>
  <mergeCells count="31">
    <mergeCell ref="A135:A143"/>
    <mergeCell ref="B135:B143"/>
    <mergeCell ref="A128:A134"/>
    <mergeCell ref="B128:B134"/>
    <mergeCell ref="A119:A127"/>
    <mergeCell ref="B119:B127"/>
    <mergeCell ref="A112:A118"/>
    <mergeCell ref="B112:B118"/>
    <mergeCell ref="A53:A60"/>
    <mergeCell ref="B53:B60"/>
    <mergeCell ref="A61:A70"/>
    <mergeCell ref="B61:B70"/>
    <mergeCell ref="A71:A78"/>
    <mergeCell ref="B71:B78"/>
    <mergeCell ref="A87:A94"/>
    <mergeCell ref="A95:A103"/>
    <mergeCell ref="B95:B103"/>
    <mergeCell ref="A104:A111"/>
    <mergeCell ref="B104:B111"/>
    <mergeCell ref="A29:A36"/>
    <mergeCell ref="B29:B36"/>
    <mergeCell ref="A37:A44"/>
    <mergeCell ref="B37:B44"/>
    <mergeCell ref="A45:A52"/>
    <mergeCell ref="B45:B52"/>
    <mergeCell ref="A2:A10"/>
    <mergeCell ref="B2:B10"/>
    <mergeCell ref="A11:A19"/>
    <mergeCell ref="B11:B19"/>
    <mergeCell ref="A20:A28"/>
    <mergeCell ref="B20:B28"/>
  </mergeCells>
  <pageMargins left="0.7" right="0.7" top="0.75" bottom="0.75" header="0.3" footer="0.3"/>
  <pageSetup orientation="portrait" r:id="rId1"/>
  <headerFooter>
    <oddHeader>&amp;C&amp;"Calibri"&amp;13&amp;K000000 TransUnion - Internal&amp;1#_x000D_</oddHeader>
    <oddFooter>&amp;C_x000D_&amp;1#&amp;"Calibri"&amp;13&amp;K000000 TransUnion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6"/>
  <sheetViews>
    <sheetView workbookViewId="0">
      <selection activeCell="D9" sqref="D9"/>
    </sheetView>
  </sheetViews>
  <sheetFormatPr defaultRowHeight="14"/>
  <cols>
    <col min="1" max="1" width="7.4140625" style="151" bestFit="1" customWidth="1"/>
    <col min="2" max="2" width="15.33203125" style="151" customWidth="1"/>
    <col min="3" max="3" width="28.75" bestFit="1" customWidth="1"/>
  </cols>
  <sheetData>
    <row r="1" spans="1:3">
      <c r="A1" s="225" t="s">
        <v>163</v>
      </c>
      <c r="B1" s="226" t="s">
        <v>164</v>
      </c>
      <c r="C1" s="227" t="s">
        <v>861</v>
      </c>
    </row>
    <row r="2" spans="1:3">
      <c r="A2" s="156" t="s">
        <v>165</v>
      </c>
      <c r="B2" s="157" t="s">
        <v>166</v>
      </c>
      <c r="C2" s="228" t="s">
        <v>860</v>
      </c>
    </row>
    <row r="3" spans="1:3">
      <c r="A3" s="156" t="s">
        <v>167</v>
      </c>
      <c r="B3" s="157" t="s">
        <v>168</v>
      </c>
      <c r="C3" s="228"/>
    </row>
    <row r="4" spans="1:3">
      <c r="A4" s="156" t="s">
        <v>169</v>
      </c>
      <c r="B4" s="157" t="s">
        <v>170</v>
      </c>
      <c r="C4" s="228"/>
    </row>
    <row r="5" spans="1:3" ht="25">
      <c r="A5" s="156" t="s">
        <v>171</v>
      </c>
      <c r="B5" s="157" t="s">
        <v>172</v>
      </c>
      <c r="C5" s="228" t="s">
        <v>860</v>
      </c>
    </row>
    <row r="6" spans="1:3">
      <c r="A6" s="158" t="s">
        <v>173</v>
      </c>
      <c r="B6" s="159" t="s">
        <v>174</v>
      </c>
      <c r="C6" s="228"/>
    </row>
  </sheetData>
  <pageMargins left="0.7" right="0.7" top="0.75" bottom="0.75" header="0.3" footer="0.3"/>
  <headerFooter>
    <oddHeader>&amp;C&amp;"Calibri"&amp;13&amp;K000000 TransUnion - Internal&amp;1#_x000D_</oddHeader>
    <oddFooter>&amp;C_x000D_&amp;1#&amp;"Calibri"&amp;13&amp;K000000 TransUnion -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9"/>
  <sheetViews>
    <sheetView workbookViewId="0">
      <selection activeCell="A10" sqref="A10"/>
    </sheetView>
  </sheetViews>
  <sheetFormatPr defaultColWidth="8.83203125" defaultRowHeight="12.5"/>
  <cols>
    <col min="1" max="1" width="13" style="145" customWidth="1"/>
    <col min="2" max="2" width="19.6640625" style="41" customWidth="1"/>
    <col min="3" max="3" width="68.4140625" style="11" bestFit="1" customWidth="1"/>
    <col min="4" max="4" width="14.9140625" style="31" customWidth="1"/>
    <col min="5" max="16384" width="8.83203125" style="31"/>
  </cols>
  <sheetData>
    <row r="1" spans="1:3">
      <c r="A1" s="229" t="s">
        <v>163</v>
      </c>
      <c r="B1" s="230" t="s">
        <v>164</v>
      </c>
      <c r="C1" s="230" t="s">
        <v>175</v>
      </c>
    </row>
    <row r="2" spans="1:3" s="39" customFormat="1" ht="24" customHeight="1">
      <c r="A2" s="142" t="s">
        <v>199</v>
      </c>
      <c r="B2" s="143" t="s">
        <v>200</v>
      </c>
      <c r="C2" s="143" t="s">
        <v>442</v>
      </c>
    </row>
    <row r="3" spans="1:3" s="39" customFormat="1" ht="23.4" customHeight="1">
      <c r="A3" s="144" t="s">
        <v>198</v>
      </c>
      <c r="B3" s="9" t="s">
        <v>443</v>
      </c>
      <c r="C3" s="9" t="s">
        <v>444</v>
      </c>
    </row>
    <row r="4" spans="1:3" s="39" customFormat="1">
      <c r="A4" s="142" t="s">
        <v>176</v>
      </c>
      <c r="B4" s="9" t="s">
        <v>177</v>
      </c>
      <c r="C4" s="9" t="s">
        <v>201</v>
      </c>
    </row>
    <row r="5" spans="1:3" s="39" customFormat="1" ht="46">
      <c r="A5" s="142" t="s">
        <v>415</v>
      </c>
      <c r="B5" s="44" t="s">
        <v>445</v>
      </c>
      <c r="C5" s="9" t="s">
        <v>446</v>
      </c>
    </row>
    <row r="6" spans="1:3" s="39" customFormat="1" ht="23">
      <c r="A6" s="142" t="s">
        <v>416</v>
      </c>
      <c r="B6" s="44" t="s">
        <v>448</v>
      </c>
      <c r="C6" s="9" t="s">
        <v>447</v>
      </c>
    </row>
    <row r="7" spans="1:3" ht="28">
      <c r="A7" s="274" t="s">
        <v>418</v>
      </c>
      <c r="B7" s="148" t="s">
        <v>959</v>
      </c>
      <c r="C7" s="264" t="s">
        <v>960</v>
      </c>
    </row>
    <row r="9" spans="1:3">
      <c r="A9" s="145" t="s">
        <v>945</v>
      </c>
    </row>
  </sheetData>
  <phoneticPr fontId="19" type="noConversion"/>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20"/>
  <sheetViews>
    <sheetView workbookViewId="0">
      <selection activeCell="H18" sqref="H17:H18"/>
    </sheetView>
  </sheetViews>
  <sheetFormatPr defaultRowHeight="14"/>
  <cols>
    <col min="1" max="1" width="80" style="31" bestFit="1" customWidth="1"/>
  </cols>
  <sheetData>
    <row r="1" spans="1:1">
      <c r="A1" s="146" t="s">
        <v>278</v>
      </c>
    </row>
    <row r="2" spans="1:1">
      <c r="A2" s="31" t="s">
        <v>287</v>
      </c>
    </row>
    <row r="3" spans="1:1">
      <c r="A3" s="31" t="s">
        <v>283</v>
      </c>
    </row>
    <row r="4" spans="1:1">
      <c r="A4" s="31" t="s">
        <v>284</v>
      </c>
    </row>
    <row r="5" spans="1:1">
      <c r="A5" s="31" t="s">
        <v>285</v>
      </c>
    </row>
    <row r="8" spans="1:1">
      <c r="A8" s="146" t="s">
        <v>277</v>
      </c>
    </row>
    <row r="9" spans="1:1">
      <c r="A9" s="31" t="s">
        <v>288</v>
      </c>
    </row>
    <row r="10" spans="1:1">
      <c r="A10" s="31" t="s">
        <v>283</v>
      </c>
    </row>
    <row r="11" spans="1:1">
      <c r="A11" s="31" t="s">
        <v>284</v>
      </c>
    </row>
    <row r="12" spans="1:1">
      <c r="A12" s="31" t="s">
        <v>285</v>
      </c>
    </row>
    <row r="15" spans="1:1">
      <c r="A15" s="146" t="s">
        <v>215</v>
      </c>
    </row>
    <row r="16" spans="1:1">
      <c r="A16" s="31" t="s">
        <v>216</v>
      </c>
    </row>
    <row r="17" spans="1:1">
      <c r="A17" s="31" t="s">
        <v>217</v>
      </c>
    </row>
    <row r="18" spans="1:1">
      <c r="A18" s="31" t="s">
        <v>218</v>
      </c>
    </row>
    <row r="19" spans="1:1">
      <c r="A19" s="31" t="s">
        <v>219</v>
      </c>
    </row>
    <row r="20" spans="1:1">
      <c r="A20" s="31" t="s">
        <v>220</v>
      </c>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C8"/>
  <sheetViews>
    <sheetView workbookViewId="0">
      <selection activeCell="J16" sqref="J16"/>
    </sheetView>
  </sheetViews>
  <sheetFormatPr defaultRowHeight="14"/>
  <cols>
    <col min="1" max="1" width="8.83203125" style="41" customWidth="1"/>
    <col min="2" max="2" width="15.08203125" style="41" bestFit="1" customWidth="1"/>
    <col min="3" max="3" width="39.33203125" style="41" bestFit="1" customWidth="1"/>
  </cols>
  <sheetData>
    <row r="1" spans="1:3">
      <c r="A1" s="219" t="s">
        <v>409</v>
      </c>
      <c r="B1" s="219" t="s">
        <v>410</v>
      </c>
      <c r="C1" s="219" t="s">
        <v>411</v>
      </c>
    </row>
    <row r="2" spans="1:3">
      <c r="A2" s="147" t="s">
        <v>199</v>
      </c>
      <c r="B2" s="148" t="s">
        <v>412</v>
      </c>
      <c r="C2" s="148" t="s">
        <v>421</v>
      </c>
    </row>
    <row r="3" spans="1:3">
      <c r="A3" s="147" t="s">
        <v>413</v>
      </c>
      <c r="B3" s="148" t="s">
        <v>407</v>
      </c>
      <c r="C3" s="148" t="s">
        <v>421</v>
      </c>
    </row>
    <row r="4" spans="1:3">
      <c r="A4" s="147" t="s">
        <v>176</v>
      </c>
      <c r="B4" s="148" t="s">
        <v>414</v>
      </c>
      <c r="C4" s="148" t="s">
        <v>421</v>
      </c>
    </row>
    <row r="5" spans="1:3">
      <c r="A5" s="147" t="s">
        <v>415</v>
      </c>
      <c r="B5" s="148" t="s">
        <v>145</v>
      </c>
      <c r="C5" s="148" t="s">
        <v>422</v>
      </c>
    </row>
    <row r="6" spans="1:3">
      <c r="A6" s="147" t="s">
        <v>416</v>
      </c>
      <c r="B6" s="148" t="s">
        <v>417</v>
      </c>
      <c r="C6" s="148" t="s">
        <v>423</v>
      </c>
    </row>
    <row r="7" spans="1:3">
      <c r="A7" s="147" t="s">
        <v>418</v>
      </c>
      <c r="B7" s="148" t="s">
        <v>419</v>
      </c>
      <c r="C7" s="148" t="s">
        <v>423</v>
      </c>
    </row>
    <row r="8" spans="1:3">
      <c r="A8" s="148" t="s">
        <v>420</v>
      </c>
      <c r="B8" s="148" t="s">
        <v>408</v>
      </c>
      <c r="C8" s="148" t="s">
        <v>423</v>
      </c>
    </row>
  </sheetData>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D15"/>
  <sheetViews>
    <sheetView workbookViewId="0">
      <selection activeCell="A7" sqref="A7"/>
    </sheetView>
  </sheetViews>
  <sheetFormatPr defaultRowHeight="14"/>
  <cols>
    <col min="1" max="1" width="14.9140625" style="39" customWidth="1"/>
    <col min="2" max="2" width="28.83203125" style="30" bestFit="1" customWidth="1"/>
    <col min="3" max="3" width="26.9140625" style="31" customWidth="1"/>
  </cols>
  <sheetData>
    <row r="1" spans="1:4">
      <c r="A1" s="231" t="s">
        <v>163</v>
      </c>
      <c r="B1" s="218" t="s">
        <v>616</v>
      </c>
      <c r="C1" s="232"/>
    </row>
    <row r="2" spans="1:4" ht="50.5">
      <c r="A2" s="162" t="s">
        <v>303</v>
      </c>
      <c r="B2" s="154" t="s">
        <v>708</v>
      </c>
      <c r="C2" s="152"/>
    </row>
    <row r="3" spans="1:4" ht="25.5">
      <c r="A3" s="162" t="s">
        <v>169</v>
      </c>
      <c r="B3" s="154" t="s">
        <v>709</v>
      </c>
      <c r="C3" s="152"/>
    </row>
    <row r="4" spans="1:4" s="40" customFormat="1" ht="25">
      <c r="A4" s="162" t="s">
        <v>605</v>
      </c>
      <c r="B4" s="153" t="s">
        <v>711</v>
      </c>
      <c r="C4" s="162"/>
    </row>
    <row r="5" spans="1:4" ht="25.5">
      <c r="A5" s="162" t="s">
        <v>602</v>
      </c>
      <c r="B5" s="154" t="s">
        <v>710</v>
      </c>
      <c r="C5" s="152"/>
    </row>
    <row r="6" spans="1:4" ht="25.5">
      <c r="A6" s="162" t="s">
        <v>171</v>
      </c>
      <c r="B6" s="154" t="s">
        <v>712</v>
      </c>
      <c r="C6" s="152"/>
    </row>
    <row r="7" spans="1:4" s="40" customFormat="1" ht="26">
      <c r="A7" s="163" t="s">
        <v>601</v>
      </c>
      <c r="B7" s="164" t="s">
        <v>713</v>
      </c>
      <c r="C7" s="163" t="s">
        <v>716</v>
      </c>
    </row>
    <row r="8" spans="1:4">
      <c r="A8" s="162" t="s">
        <v>184</v>
      </c>
      <c r="B8" s="154" t="s">
        <v>714</v>
      </c>
      <c r="C8" s="152"/>
    </row>
    <row r="9" spans="1:4" ht="66" customHeight="1">
      <c r="A9" s="162" t="s">
        <v>142</v>
      </c>
      <c r="B9" s="260" t="s">
        <v>617</v>
      </c>
      <c r="C9" s="345" t="s">
        <v>715</v>
      </c>
      <c r="D9" s="41"/>
    </row>
    <row r="10" spans="1:4" ht="63">
      <c r="A10" s="162" t="s">
        <v>560</v>
      </c>
      <c r="B10" s="154" t="s">
        <v>618</v>
      </c>
      <c r="C10" s="345"/>
      <c r="D10" s="41"/>
    </row>
    <row r="11" spans="1:4">
      <c r="A11" s="162" t="s">
        <v>165</v>
      </c>
      <c r="B11" s="154" t="s">
        <v>619</v>
      </c>
      <c r="C11" s="345"/>
      <c r="D11" s="41"/>
    </row>
    <row r="12" spans="1:4">
      <c r="A12" s="162" t="s">
        <v>179</v>
      </c>
      <c r="B12" s="154" t="s">
        <v>620</v>
      </c>
      <c r="C12" s="345"/>
      <c r="D12" s="41"/>
    </row>
    <row r="13" spans="1:4">
      <c r="D13" s="41"/>
    </row>
    <row r="15" spans="1:4">
      <c r="A15" s="42" t="s">
        <v>880</v>
      </c>
      <c r="B15" s="31"/>
    </row>
  </sheetData>
  <mergeCells count="1">
    <mergeCell ref="C9:C12"/>
  </mergeCells>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0070C0"/>
  </sheetPr>
  <dimension ref="A1:AO29"/>
  <sheetViews>
    <sheetView topLeftCell="A7" workbookViewId="0">
      <selection activeCell="S8" sqref="S8"/>
    </sheetView>
  </sheetViews>
  <sheetFormatPr defaultColWidth="8.9140625" defaultRowHeight="14.5"/>
  <cols>
    <col min="1" max="10" width="3.33203125" style="45" customWidth="1"/>
    <col min="11" max="11" width="33.6640625" style="45" customWidth="1"/>
    <col min="12" max="34" width="4.08203125" style="45" customWidth="1"/>
    <col min="35" max="40" width="4.08203125" style="45" hidden="1" customWidth="1"/>
    <col min="41" max="41" width="4.08203125" style="45" customWidth="1"/>
    <col min="42" max="16384" width="8.9140625" style="45"/>
  </cols>
  <sheetData>
    <row r="1" spans="1:41">
      <c r="A1" s="47"/>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9"/>
      <c r="AJ1" s="48"/>
      <c r="AK1" s="48"/>
      <c r="AL1" s="48"/>
      <c r="AM1" s="48"/>
      <c r="AN1" s="50"/>
    </row>
    <row r="2" spans="1:41" ht="16.25" customHeight="1">
      <c r="A2" s="51"/>
      <c r="B2" s="52"/>
      <c r="C2" s="52"/>
      <c r="D2" s="52"/>
      <c r="E2" s="52"/>
      <c r="F2" s="52"/>
      <c r="G2" s="52"/>
      <c r="H2" s="52"/>
      <c r="I2" s="52"/>
      <c r="J2" s="52"/>
      <c r="K2" s="52"/>
      <c r="L2" s="353" t="s">
        <v>623</v>
      </c>
      <c r="M2" s="353"/>
      <c r="N2" s="353"/>
      <c r="O2" s="353"/>
      <c r="P2" s="353"/>
      <c r="Q2" s="353"/>
      <c r="R2" s="353"/>
      <c r="S2" s="353"/>
      <c r="T2" s="353"/>
      <c r="U2" s="353"/>
      <c r="V2" s="353"/>
      <c r="W2" s="96"/>
      <c r="X2" s="54"/>
      <c r="Y2" s="54"/>
      <c r="Z2" s="54"/>
      <c r="AA2" s="54"/>
      <c r="AB2" s="54"/>
      <c r="AC2" s="54"/>
      <c r="AD2" s="54"/>
      <c r="AE2" s="54"/>
      <c r="AF2" s="54"/>
      <c r="AG2" s="54"/>
      <c r="AH2" s="54"/>
      <c r="AI2" s="55"/>
      <c r="AJ2" s="54"/>
      <c r="AK2" s="54"/>
      <c r="AL2" s="54"/>
      <c r="AM2" s="54"/>
      <c r="AN2" s="56"/>
      <c r="AO2" s="57"/>
    </row>
    <row r="3" spans="1:41" ht="16.25" customHeight="1">
      <c r="A3" s="51"/>
      <c r="B3" s="52"/>
      <c r="C3" s="52"/>
      <c r="D3" s="52"/>
      <c r="E3" s="52"/>
      <c r="F3" s="52"/>
      <c r="G3" s="52"/>
      <c r="H3" s="52"/>
      <c r="I3" s="52"/>
      <c r="J3" s="52"/>
      <c r="K3" s="52"/>
      <c r="L3" s="353" t="s">
        <v>624</v>
      </c>
      <c r="M3" s="353"/>
      <c r="N3" s="353"/>
      <c r="O3" s="353"/>
      <c r="P3" s="353"/>
      <c r="Q3" s="353"/>
      <c r="R3" s="353"/>
      <c r="S3" s="353"/>
      <c r="T3" s="353"/>
      <c r="U3" s="353"/>
      <c r="V3" s="353"/>
      <c r="W3" s="97"/>
      <c r="X3" s="54"/>
      <c r="Y3" s="54"/>
      <c r="Z3" s="54"/>
      <c r="AA3" s="54"/>
      <c r="AB3" s="54"/>
      <c r="AC3" s="54"/>
      <c r="AD3" s="54"/>
      <c r="AE3" s="54"/>
      <c r="AF3" s="54"/>
      <c r="AG3" s="54"/>
      <c r="AH3" s="54"/>
      <c r="AI3" s="55"/>
      <c r="AJ3" s="54"/>
      <c r="AK3" s="54"/>
      <c r="AL3" s="54"/>
      <c r="AM3" s="54"/>
      <c r="AN3" s="56"/>
      <c r="AO3" s="57"/>
    </row>
    <row r="4" spans="1:41" ht="16.25" customHeight="1">
      <c r="A4" s="51"/>
      <c r="B4" s="52"/>
      <c r="C4" s="52"/>
      <c r="D4" s="52"/>
      <c r="E4" s="52"/>
      <c r="F4" s="52"/>
      <c r="G4" s="52"/>
      <c r="H4" s="52"/>
      <c r="I4" s="52"/>
      <c r="J4" s="52"/>
      <c r="K4" s="52"/>
      <c r="L4" s="354"/>
      <c r="M4" s="354"/>
      <c r="N4" s="354"/>
      <c r="O4" s="354"/>
      <c r="P4" s="354"/>
      <c r="Q4" s="354"/>
      <c r="R4" s="354"/>
      <c r="S4" s="354"/>
      <c r="T4" s="354"/>
      <c r="U4" s="354"/>
      <c r="V4" s="354"/>
      <c r="W4" s="100"/>
      <c r="X4" s="54"/>
      <c r="Y4" s="54"/>
      <c r="Z4" s="54"/>
      <c r="AA4" s="54"/>
      <c r="AB4" s="54"/>
      <c r="AC4" s="54"/>
      <c r="AD4" s="54"/>
      <c r="AE4" s="54"/>
      <c r="AF4" s="54"/>
      <c r="AG4" s="54"/>
      <c r="AH4" s="54"/>
      <c r="AI4" s="55"/>
      <c r="AJ4" s="54"/>
      <c r="AK4" s="54"/>
      <c r="AL4" s="54"/>
      <c r="AM4" s="54"/>
      <c r="AN4" s="56"/>
      <c r="AO4" s="57"/>
    </row>
    <row r="5" spans="1:41" ht="16.5" customHeight="1">
      <c r="A5" s="51"/>
      <c r="B5" s="52"/>
      <c r="C5" s="52"/>
      <c r="D5" s="52"/>
      <c r="E5" s="52"/>
      <c r="F5" s="52"/>
      <c r="G5" s="52"/>
      <c r="H5" s="52"/>
      <c r="I5" s="52"/>
      <c r="J5" s="52"/>
      <c r="K5" s="52"/>
      <c r="L5" s="58"/>
      <c r="M5" s="58"/>
      <c r="N5" s="58"/>
      <c r="O5" s="58"/>
      <c r="P5" s="58"/>
      <c r="Q5" s="58"/>
      <c r="R5" s="58"/>
      <c r="S5" s="58"/>
      <c r="T5" s="58"/>
      <c r="U5" s="58"/>
      <c r="V5" s="58"/>
      <c r="W5" s="58"/>
      <c r="X5" s="58"/>
      <c r="Y5" s="58"/>
      <c r="Z5" s="58"/>
      <c r="AA5" s="58"/>
      <c r="AB5" s="58"/>
      <c r="AC5" s="58"/>
      <c r="AD5" s="58"/>
      <c r="AE5" s="58"/>
      <c r="AF5" s="58"/>
      <c r="AG5" s="58"/>
      <c r="AH5" s="58"/>
      <c r="AI5" s="59"/>
      <c r="AJ5" s="60"/>
      <c r="AK5" s="58"/>
      <c r="AL5" s="58"/>
      <c r="AM5" s="58"/>
      <c r="AN5" s="61"/>
      <c r="AO5" s="62"/>
    </row>
    <row r="6" spans="1:41" ht="15.5" customHeight="1">
      <c r="A6" s="355" t="s">
        <v>625</v>
      </c>
      <c r="B6" s="355"/>
      <c r="C6" s="355"/>
      <c r="D6" s="355"/>
      <c r="E6" s="355"/>
      <c r="F6" s="355"/>
      <c r="G6" s="355"/>
      <c r="H6" s="355"/>
      <c r="I6" s="355"/>
      <c r="J6" s="355"/>
      <c r="K6" s="355"/>
      <c r="L6" s="356" t="s">
        <v>626</v>
      </c>
      <c r="M6" s="356"/>
      <c r="N6" s="356"/>
      <c r="O6" s="356"/>
      <c r="P6" s="356"/>
      <c r="Q6" s="356"/>
      <c r="R6" s="356"/>
      <c r="S6" s="356"/>
      <c r="T6" s="356"/>
      <c r="U6" s="356"/>
      <c r="V6" s="356"/>
      <c r="W6" s="356"/>
      <c r="X6" s="356"/>
      <c r="Y6" s="356"/>
      <c r="Z6" s="356"/>
      <c r="AA6" s="356"/>
      <c r="AB6" s="356"/>
      <c r="AC6" s="356"/>
      <c r="AD6" s="356"/>
      <c r="AE6" s="356"/>
      <c r="AF6" s="356"/>
      <c r="AG6" s="356"/>
      <c r="AH6" s="356"/>
      <c r="AI6" s="63"/>
      <c r="AJ6" s="346" t="s">
        <v>627</v>
      </c>
      <c r="AK6" s="347"/>
      <c r="AL6" s="347"/>
      <c r="AM6" s="347"/>
      <c r="AN6" s="348"/>
      <c r="AO6" s="64"/>
    </row>
    <row r="7" spans="1:41" s="71" customFormat="1" ht="65" customHeight="1">
      <c r="A7" s="349"/>
      <c r="B7" s="350"/>
      <c r="C7" s="350"/>
      <c r="D7" s="350"/>
      <c r="E7" s="350"/>
      <c r="F7" s="350"/>
      <c r="G7" s="350"/>
      <c r="H7" s="350"/>
      <c r="I7" s="350"/>
      <c r="J7" s="350"/>
      <c r="K7" s="351"/>
      <c r="L7" s="65" t="s">
        <v>628</v>
      </c>
      <c r="M7" s="65" t="s">
        <v>629</v>
      </c>
      <c r="N7" s="65" t="s">
        <v>180</v>
      </c>
      <c r="O7" s="65" t="s">
        <v>182</v>
      </c>
      <c r="P7" s="65" t="s">
        <v>630</v>
      </c>
      <c r="Q7" s="65" t="s">
        <v>631</v>
      </c>
      <c r="R7" s="65" t="s">
        <v>632</v>
      </c>
      <c r="S7" s="65" t="s">
        <v>384</v>
      </c>
      <c r="T7" s="65" t="s">
        <v>633</v>
      </c>
      <c r="U7" s="65" t="s">
        <v>634</v>
      </c>
      <c r="V7" s="65" t="s">
        <v>187</v>
      </c>
      <c r="W7" s="65" t="s">
        <v>635</v>
      </c>
      <c r="X7" s="65" t="s">
        <v>636</v>
      </c>
      <c r="Y7" s="65" t="s">
        <v>391</v>
      </c>
      <c r="Z7" s="65" t="s">
        <v>637</v>
      </c>
      <c r="AA7" s="65" t="s">
        <v>638</v>
      </c>
      <c r="AB7" s="65" t="s">
        <v>639</v>
      </c>
      <c r="AC7" s="65" t="s">
        <v>640</v>
      </c>
      <c r="AD7" s="65" t="s">
        <v>641</v>
      </c>
      <c r="AE7" s="65" t="s">
        <v>191</v>
      </c>
      <c r="AF7" s="65" t="s">
        <v>642</v>
      </c>
      <c r="AG7" s="65" t="s">
        <v>193</v>
      </c>
      <c r="AH7" s="99"/>
      <c r="AI7" s="66"/>
      <c r="AJ7" s="67"/>
      <c r="AK7" s="68"/>
      <c r="AL7" s="68"/>
      <c r="AM7" s="68"/>
      <c r="AN7" s="69"/>
      <c r="AO7" s="70"/>
    </row>
    <row r="8" spans="1:41" ht="13.25" customHeight="1">
      <c r="A8" s="352"/>
      <c r="B8" s="352"/>
      <c r="C8" s="352"/>
      <c r="D8" s="352"/>
      <c r="E8" s="352"/>
      <c r="F8" s="352"/>
      <c r="G8" s="352"/>
      <c r="H8" s="352"/>
      <c r="I8" s="352"/>
      <c r="J8" s="352"/>
      <c r="K8" s="352"/>
      <c r="L8" s="72" t="s">
        <v>560</v>
      </c>
      <c r="M8" s="73" t="s">
        <v>165</v>
      </c>
      <c r="N8" s="73" t="s">
        <v>179</v>
      </c>
      <c r="O8" s="73" t="s">
        <v>181</v>
      </c>
      <c r="P8" s="74" t="s">
        <v>602</v>
      </c>
      <c r="Q8" s="73" t="s">
        <v>603</v>
      </c>
      <c r="R8" s="73" t="s">
        <v>169</v>
      </c>
      <c r="S8" s="73" t="s">
        <v>183</v>
      </c>
      <c r="T8" s="74" t="s">
        <v>184</v>
      </c>
      <c r="U8" s="73" t="s">
        <v>604</v>
      </c>
      <c r="V8" s="72" t="s">
        <v>186</v>
      </c>
      <c r="W8" s="73" t="s">
        <v>143</v>
      </c>
      <c r="X8" s="73" t="s">
        <v>335</v>
      </c>
      <c r="Y8" s="73" t="s">
        <v>188</v>
      </c>
      <c r="Z8" s="73" t="s">
        <v>605</v>
      </c>
      <c r="AA8" s="73" t="s">
        <v>605</v>
      </c>
      <c r="AB8" s="72" t="s">
        <v>173</v>
      </c>
      <c r="AC8" s="73" t="s">
        <v>549</v>
      </c>
      <c r="AD8" s="73" t="s">
        <v>189</v>
      </c>
      <c r="AE8" s="73" t="s">
        <v>190</v>
      </c>
      <c r="AF8" s="73" t="s">
        <v>3</v>
      </c>
      <c r="AG8" s="72" t="s">
        <v>192</v>
      </c>
      <c r="AH8" s="101"/>
      <c r="AI8" s="98" t="s">
        <v>643</v>
      </c>
      <c r="AJ8" s="75" t="s">
        <v>644</v>
      </c>
      <c r="AK8" s="75" t="s">
        <v>645</v>
      </c>
      <c r="AL8" s="75" t="s">
        <v>646</v>
      </c>
      <c r="AM8" s="75" t="s">
        <v>647</v>
      </c>
      <c r="AN8" s="76"/>
    </row>
    <row r="9" spans="1:41" ht="13.25" customHeight="1">
      <c r="A9" s="77" t="s">
        <v>560</v>
      </c>
      <c r="B9" s="77"/>
      <c r="C9" s="77"/>
      <c r="D9" s="77"/>
      <c r="E9" s="77"/>
      <c r="F9" s="77"/>
      <c r="G9" s="77"/>
      <c r="H9" s="77"/>
      <c r="I9" s="77"/>
      <c r="J9" s="77"/>
      <c r="K9" s="78" t="s">
        <v>297</v>
      </c>
      <c r="L9" s="53"/>
      <c r="M9" s="53"/>
      <c r="N9" s="53"/>
      <c r="O9" s="53"/>
      <c r="P9" s="79"/>
      <c r="Q9" s="79"/>
      <c r="R9" s="79"/>
      <c r="S9" s="79"/>
      <c r="T9" s="53"/>
      <c r="U9" s="79"/>
      <c r="V9" s="53"/>
      <c r="W9" s="79"/>
      <c r="X9" s="53"/>
      <c r="Y9" s="53"/>
      <c r="Z9" s="79"/>
      <c r="AA9" s="79"/>
      <c r="AB9" s="53"/>
      <c r="AC9" s="53"/>
      <c r="AD9" s="53"/>
      <c r="AE9" s="53"/>
      <c r="AF9" s="53"/>
      <c r="AG9" s="53"/>
      <c r="AH9" s="80"/>
      <c r="AI9" s="81"/>
      <c r="AJ9" s="81"/>
      <c r="AK9" s="81"/>
      <c r="AL9" s="81"/>
      <c r="AM9" s="82"/>
    </row>
    <row r="10" spans="1:41" ht="13.25" customHeight="1">
      <c r="A10" s="83" t="s">
        <v>165</v>
      </c>
      <c r="B10" s="83"/>
      <c r="C10" s="83"/>
      <c r="D10" s="83"/>
      <c r="E10" s="83"/>
      <c r="F10" s="83"/>
      <c r="G10" s="83"/>
      <c r="H10" s="83"/>
      <c r="I10" s="83"/>
      <c r="J10" s="83"/>
      <c r="K10" s="84" t="s">
        <v>304</v>
      </c>
      <c r="L10" s="53"/>
      <c r="M10" s="53"/>
      <c r="N10" s="53"/>
      <c r="O10" s="85"/>
      <c r="P10" s="85"/>
      <c r="Q10" s="85"/>
      <c r="R10" s="85"/>
      <c r="S10" s="53"/>
      <c r="T10" s="85"/>
      <c r="U10" s="85"/>
      <c r="V10" s="53"/>
      <c r="W10" s="85"/>
      <c r="X10" s="85"/>
      <c r="Y10" s="53"/>
      <c r="Z10" s="85"/>
      <c r="AA10" s="85"/>
      <c r="AB10" s="85"/>
      <c r="AC10" s="53"/>
      <c r="AD10" s="85"/>
      <c r="AE10" s="53"/>
      <c r="AF10" s="53"/>
      <c r="AG10" s="53"/>
      <c r="AH10" s="86"/>
      <c r="AI10" s="87"/>
      <c r="AJ10" s="87"/>
      <c r="AK10" s="87"/>
      <c r="AL10" s="87"/>
      <c r="AM10" s="88"/>
    </row>
    <row r="11" spans="1:41" ht="13.25" customHeight="1">
      <c r="A11" s="83" t="s">
        <v>181</v>
      </c>
      <c r="B11" s="83"/>
      <c r="C11" s="83"/>
      <c r="D11" s="83"/>
      <c r="E11" s="83"/>
      <c r="F11" s="83"/>
      <c r="G11" s="83"/>
      <c r="H11" s="83"/>
      <c r="I11" s="83"/>
      <c r="J11" s="83"/>
      <c r="K11" s="84" t="s">
        <v>312</v>
      </c>
      <c r="L11" s="53"/>
      <c r="M11" s="53"/>
      <c r="N11" s="53"/>
      <c r="O11" s="53"/>
      <c r="P11" s="85"/>
      <c r="Q11" s="85"/>
      <c r="R11" s="85"/>
      <c r="S11" s="53"/>
      <c r="T11" s="85"/>
      <c r="U11" s="85"/>
      <c r="V11" s="53"/>
      <c r="W11" s="85"/>
      <c r="X11" s="85"/>
      <c r="Y11" s="53"/>
      <c r="Z11" s="85"/>
      <c r="AA11" s="85"/>
      <c r="AB11" s="53"/>
      <c r="AC11" s="53"/>
      <c r="AD11" s="53"/>
      <c r="AE11" s="53"/>
      <c r="AF11" s="53"/>
      <c r="AG11" s="53"/>
      <c r="AH11" s="86"/>
      <c r="AI11" s="89"/>
      <c r="AJ11" s="89"/>
      <c r="AK11" s="89"/>
      <c r="AL11" s="89"/>
      <c r="AM11" s="90"/>
    </row>
    <row r="12" spans="1:41" ht="13.25" customHeight="1">
      <c r="A12" s="83" t="s">
        <v>602</v>
      </c>
      <c r="B12" s="83"/>
      <c r="C12" s="83"/>
      <c r="D12" s="83"/>
      <c r="E12" s="83"/>
      <c r="F12" s="83"/>
      <c r="G12" s="83"/>
      <c r="H12" s="83"/>
      <c r="I12" s="83"/>
      <c r="J12" s="83"/>
      <c r="K12" s="84" t="s">
        <v>648</v>
      </c>
      <c r="L12" s="91"/>
      <c r="M12" s="91"/>
      <c r="N12" s="91"/>
      <c r="O12" s="85"/>
      <c r="P12" s="85"/>
      <c r="Q12" s="85"/>
      <c r="R12" s="85"/>
      <c r="S12" s="85"/>
      <c r="T12" s="85"/>
      <c r="U12" s="85"/>
      <c r="V12" s="53"/>
      <c r="W12" s="85"/>
      <c r="X12" s="85"/>
      <c r="Y12" s="53"/>
      <c r="Z12" s="85"/>
      <c r="AA12" s="85"/>
      <c r="AB12" s="85"/>
      <c r="AC12" s="53"/>
      <c r="AD12" s="53"/>
      <c r="AE12" s="53"/>
      <c r="AF12" s="53"/>
      <c r="AG12" s="53"/>
      <c r="AH12" s="86"/>
      <c r="AI12" s="87"/>
      <c r="AJ12" s="87"/>
      <c r="AK12" s="87"/>
      <c r="AL12" s="87"/>
      <c r="AM12" s="88"/>
    </row>
    <row r="13" spans="1:41" ht="12.5" customHeight="1">
      <c r="A13" s="83" t="s">
        <v>603</v>
      </c>
      <c r="B13" s="83"/>
      <c r="C13" s="83"/>
      <c r="D13" s="83"/>
      <c r="E13" s="83"/>
      <c r="F13" s="83"/>
      <c r="G13" s="83"/>
      <c r="H13" s="83"/>
      <c r="I13" s="83"/>
      <c r="J13" s="83"/>
      <c r="K13" s="84" t="s">
        <v>649</v>
      </c>
      <c r="L13" s="91"/>
      <c r="M13" s="91"/>
      <c r="N13" s="91"/>
      <c r="O13" s="85"/>
      <c r="P13" s="85"/>
      <c r="Q13" s="85"/>
      <c r="R13" s="85"/>
      <c r="S13" s="53"/>
      <c r="T13" s="85"/>
      <c r="U13" s="85"/>
      <c r="V13" s="53"/>
      <c r="W13" s="85"/>
      <c r="X13" s="85"/>
      <c r="Y13" s="53"/>
      <c r="Z13" s="85"/>
      <c r="AA13" s="85"/>
      <c r="AB13" s="85"/>
      <c r="AC13" s="53"/>
      <c r="AD13" s="53"/>
      <c r="AE13" s="53"/>
      <c r="AF13" s="53"/>
      <c r="AG13" s="53"/>
      <c r="AH13" s="86"/>
      <c r="AI13" s="87"/>
      <c r="AJ13" s="87"/>
      <c r="AK13" s="87"/>
      <c r="AL13" s="87"/>
      <c r="AM13" s="88"/>
    </row>
    <row r="14" spans="1:41" ht="13.5" customHeight="1">
      <c r="A14" s="83" t="s">
        <v>169</v>
      </c>
      <c r="B14" s="83"/>
      <c r="C14" s="83"/>
      <c r="D14" s="83"/>
      <c r="E14" s="83"/>
      <c r="F14" s="83"/>
      <c r="G14" s="83"/>
      <c r="H14" s="83"/>
      <c r="I14" s="83"/>
      <c r="J14" s="83"/>
      <c r="K14" s="84" t="s">
        <v>650</v>
      </c>
      <c r="L14" s="53"/>
      <c r="M14" s="53"/>
      <c r="N14" s="53"/>
      <c r="O14" s="53"/>
      <c r="P14" s="85"/>
      <c r="Q14" s="85"/>
      <c r="R14" s="85"/>
      <c r="S14" s="85"/>
      <c r="T14" s="53"/>
      <c r="U14" s="85"/>
      <c r="V14" s="53"/>
      <c r="W14" s="85"/>
      <c r="X14" s="53"/>
      <c r="Y14" s="53"/>
      <c r="Z14" s="85"/>
      <c r="AA14" s="85"/>
      <c r="AB14" s="53"/>
      <c r="AC14" s="53"/>
      <c r="AD14" s="53"/>
      <c r="AE14" s="53"/>
      <c r="AF14" s="53"/>
      <c r="AG14" s="53"/>
      <c r="AH14" s="86"/>
      <c r="AI14" s="87"/>
      <c r="AJ14" s="87"/>
      <c r="AK14" s="87"/>
      <c r="AL14" s="87"/>
      <c r="AM14" s="88"/>
    </row>
    <row r="15" spans="1:41" ht="13.25" customHeight="1">
      <c r="A15" s="73" t="s">
        <v>183</v>
      </c>
      <c r="B15" s="73"/>
      <c r="C15" s="73"/>
      <c r="D15" s="73"/>
      <c r="E15" s="73"/>
      <c r="F15" s="73"/>
      <c r="G15" s="73"/>
      <c r="H15" s="73"/>
      <c r="I15" s="73"/>
      <c r="J15" s="73"/>
      <c r="K15" s="84" t="s">
        <v>651</v>
      </c>
      <c r="L15" s="53"/>
      <c r="M15" s="53"/>
      <c r="N15" s="53"/>
      <c r="O15" s="53"/>
      <c r="P15" s="85"/>
      <c r="Q15" s="85"/>
      <c r="R15" s="85"/>
      <c r="S15" s="85"/>
      <c r="T15" s="85"/>
      <c r="U15" s="85"/>
      <c r="V15" s="53"/>
      <c r="W15" s="85"/>
      <c r="X15" s="85"/>
      <c r="Y15" s="85"/>
      <c r="Z15" s="85"/>
      <c r="AA15" s="85"/>
      <c r="AB15" s="53"/>
      <c r="AC15" s="53"/>
      <c r="AD15" s="53"/>
      <c r="AE15" s="53"/>
      <c r="AF15" s="53"/>
      <c r="AG15" s="53"/>
      <c r="AH15" s="86"/>
      <c r="AI15" s="87"/>
      <c r="AJ15" s="87"/>
      <c r="AK15" s="87"/>
      <c r="AL15" s="87"/>
      <c r="AM15" s="88"/>
    </row>
    <row r="16" spans="1:41" ht="13.25" customHeight="1">
      <c r="A16" s="73" t="s">
        <v>186</v>
      </c>
      <c r="B16" s="73"/>
      <c r="C16" s="73"/>
      <c r="D16" s="73"/>
      <c r="E16" s="73"/>
      <c r="F16" s="73"/>
      <c r="G16" s="73"/>
      <c r="H16" s="73"/>
      <c r="I16" s="73"/>
      <c r="J16" s="73"/>
      <c r="K16" s="84" t="s">
        <v>330</v>
      </c>
      <c r="L16" s="85"/>
      <c r="M16" s="85"/>
      <c r="N16" s="53"/>
      <c r="O16" s="85"/>
      <c r="P16" s="53"/>
      <c r="Q16" s="53"/>
      <c r="R16" s="53"/>
      <c r="S16" s="85"/>
      <c r="T16" s="85"/>
      <c r="U16" s="53"/>
      <c r="V16" s="85"/>
      <c r="W16" s="53"/>
      <c r="X16" s="85"/>
      <c r="Y16" s="85"/>
      <c r="Z16" s="53"/>
      <c r="AA16" s="85"/>
      <c r="AB16" s="85"/>
      <c r="AC16" s="53"/>
      <c r="AD16" s="85"/>
      <c r="AE16" s="85"/>
      <c r="AF16" s="85"/>
      <c r="AG16" s="53"/>
      <c r="AH16" s="86"/>
      <c r="AI16" s="87"/>
      <c r="AJ16" s="87"/>
      <c r="AK16" s="87"/>
      <c r="AL16" s="87"/>
      <c r="AM16" s="88"/>
    </row>
    <row r="17" spans="1:40" ht="13.25" customHeight="1">
      <c r="A17" s="73" t="s">
        <v>143</v>
      </c>
      <c r="B17" s="73"/>
      <c r="C17" s="73"/>
      <c r="D17" s="73"/>
      <c r="E17" s="73"/>
      <c r="F17" s="73"/>
      <c r="G17" s="73"/>
      <c r="H17" s="73"/>
      <c r="I17" s="73"/>
      <c r="J17" s="73"/>
      <c r="K17" s="84" t="s">
        <v>652</v>
      </c>
      <c r="L17" s="53"/>
      <c r="M17" s="53"/>
      <c r="N17" s="53"/>
      <c r="O17" s="53"/>
      <c r="P17" s="85"/>
      <c r="Q17" s="85"/>
      <c r="R17" s="85"/>
      <c r="S17" s="85"/>
      <c r="T17" s="85"/>
      <c r="U17" s="85"/>
      <c r="V17" s="53"/>
      <c r="W17" s="85"/>
      <c r="X17" s="85"/>
      <c r="Y17" s="53"/>
      <c r="Z17" s="85"/>
      <c r="AA17" s="85"/>
      <c r="AB17" s="53"/>
      <c r="AC17" s="53"/>
      <c r="AD17" s="53"/>
      <c r="AE17" s="53"/>
      <c r="AF17" s="53"/>
      <c r="AG17" s="53"/>
      <c r="AH17" s="86"/>
      <c r="AI17" s="87"/>
      <c r="AJ17" s="87"/>
      <c r="AK17" s="87"/>
      <c r="AL17" s="87"/>
      <c r="AM17" s="88"/>
    </row>
    <row r="18" spans="1:40" ht="13.25" customHeight="1">
      <c r="A18" s="73" t="s">
        <v>156</v>
      </c>
      <c r="B18" s="73"/>
      <c r="C18" s="73"/>
      <c r="D18" s="73"/>
      <c r="E18" s="73"/>
      <c r="F18" s="73"/>
      <c r="G18" s="73"/>
      <c r="H18" s="73"/>
      <c r="I18" s="73"/>
      <c r="J18" s="73"/>
      <c r="K18" s="84" t="s">
        <v>653</v>
      </c>
      <c r="L18" s="53"/>
      <c r="M18" s="53"/>
      <c r="N18" s="53"/>
      <c r="O18" s="53"/>
      <c r="P18" s="85"/>
      <c r="Q18" s="53"/>
      <c r="R18" s="85"/>
      <c r="S18" s="85"/>
      <c r="T18" s="85"/>
      <c r="U18" s="85"/>
      <c r="V18" s="53"/>
      <c r="W18" s="85"/>
      <c r="X18" s="85"/>
      <c r="Y18" s="85"/>
      <c r="Z18" s="85"/>
      <c r="AA18" s="85"/>
      <c r="AB18" s="53"/>
      <c r="AC18" s="53"/>
      <c r="AD18" s="53"/>
      <c r="AE18" s="53"/>
      <c r="AF18" s="53"/>
      <c r="AG18" s="53"/>
      <c r="AH18" s="86"/>
      <c r="AI18" s="87"/>
      <c r="AJ18" s="87"/>
      <c r="AK18" s="87"/>
      <c r="AL18" s="87"/>
      <c r="AM18" s="88"/>
    </row>
    <row r="19" spans="1:40" ht="13.25" customHeight="1">
      <c r="A19" s="73" t="s">
        <v>601</v>
      </c>
      <c r="B19" s="73"/>
      <c r="C19" s="73"/>
      <c r="D19" s="73"/>
      <c r="E19" s="73"/>
      <c r="F19" s="73"/>
      <c r="G19" s="73"/>
      <c r="H19" s="73"/>
      <c r="I19" s="73"/>
      <c r="J19" s="73"/>
      <c r="K19" s="84" t="s">
        <v>654</v>
      </c>
      <c r="L19" s="53"/>
      <c r="M19" s="53"/>
      <c r="N19" s="53"/>
      <c r="O19" s="53"/>
      <c r="P19" s="85"/>
      <c r="Q19" s="85"/>
      <c r="R19" s="85"/>
      <c r="S19" s="53"/>
      <c r="T19" s="85"/>
      <c r="U19" s="85"/>
      <c r="V19" s="53"/>
      <c r="W19" s="85"/>
      <c r="X19" s="85"/>
      <c r="Y19" s="85"/>
      <c r="Z19" s="53"/>
      <c r="AA19" s="85"/>
      <c r="AB19" s="85"/>
      <c r="AC19" s="53"/>
      <c r="AD19" s="53"/>
      <c r="AE19" s="53"/>
      <c r="AF19" s="53"/>
      <c r="AG19" s="53"/>
      <c r="AH19" s="86"/>
      <c r="AI19" s="87"/>
      <c r="AJ19" s="87"/>
      <c r="AK19" s="87"/>
      <c r="AL19" s="87"/>
      <c r="AM19" s="88"/>
    </row>
    <row r="20" spans="1:40" ht="13.25" customHeight="1">
      <c r="A20" s="73" t="s">
        <v>188</v>
      </c>
      <c r="B20" s="73"/>
      <c r="C20" s="73"/>
      <c r="D20" s="73"/>
      <c r="E20" s="73"/>
      <c r="F20" s="73"/>
      <c r="G20" s="73"/>
      <c r="H20" s="73"/>
      <c r="I20" s="73"/>
      <c r="J20" s="73"/>
      <c r="K20" s="84" t="s">
        <v>333</v>
      </c>
      <c r="L20" s="53"/>
      <c r="M20" s="53"/>
      <c r="N20" s="53"/>
      <c r="O20" s="53"/>
      <c r="P20" s="85"/>
      <c r="Q20" s="85"/>
      <c r="R20" s="85"/>
      <c r="S20" s="85"/>
      <c r="T20" s="85"/>
      <c r="U20" s="85"/>
      <c r="V20" s="53"/>
      <c r="W20" s="85"/>
      <c r="X20" s="85"/>
      <c r="Y20" s="53"/>
      <c r="Z20" s="85"/>
      <c r="AA20" s="85"/>
      <c r="AB20" s="53"/>
      <c r="AC20" s="53"/>
      <c r="AD20" s="53"/>
      <c r="AE20" s="53"/>
      <c r="AF20" s="53"/>
      <c r="AG20" s="53"/>
      <c r="AH20" s="86"/>
      <c r="AI20" s="87"/>
      <c r="AJ20" s="87"/>
      <c r="AK20" s="87"/>
      <c r="AL20" s="87"/>
      <c r="AM20" s="88"/>
    </row>
    <row r="21" spans="1:40" ht="13.25" customHeight="1">
      <c r="A21" s="83" t="s">
        <v>171</v>
      </c>
      <c r="B21" s="83"/>
      <c r="C21" s="83"/>
      <c r="D21" s="83"/>
      <c r="E21" s="83"/>
      <c r="F21" s="83"/>
      <c r="G21" s="83"/>
      <c r="H21" s="83"/>
      <c r="I21" s="83"/>
      <c r="J21" s="83"/>
      <c r="K21" s="84" t="s">
        <v>655</v>
      </c>
      <c r="L21" s="53"/>
      <c r="M21" s="53"/>
      <c r="N21" s="53"/>
      <c r="O21" s="85"/>
      <c r="P21" s="85"/>
      <c r="Q21" s="85"/>
      <c r="R21" s="85"/>
      <c r="S21" s="53"/>
      <c r="T21" s="85"/>
      <c r="U21" s="85"/>
      <c r="V21" s="53"/>
      <c r="W21" s="85"/>
      <c r="X21" s="85"/>
      <c r="Y21" s="53"/>
      <c r="Z21" s="85"/>
      <c r="AA21" s="85"/>
      <c r="AB21" s="85"/>
      <c r="AC21" s="53"/>
      <c r="AD21" s="85"/>
      <c r="AE21" s="53"/>
      <c r="AF21" s="53"/>
      <c r="AG21" s="53"/>
      <c r="AH21" s="86"/>
      <c r="AI21" s="87"/>
      <c r="AJ21" s="87"/>
      <c r="AK21" s="87"/>
      <c r="AL21" s="87"/>
      <c r="AM21" s="88"/>
    </row>
    <row r="22" spans="1:40" ht="13.25" customHeight="1">
      <c r="A22" s="83" t="s">
        <v>605</v>
      </c>
      <c r="B22" s="83"/>
      <c r="C22" s="83"/>
      <c r="D22" s="83"/>
      <c r="E22" s="83"/>
      <c r="F22" s="83"/>
      <c r="G22" s="83"/>
      <c r="H22" s="83"/>
      <c r="I22" s="83"/>
      <c r="J22" s="83"/>
      <c r="K22" s="84" t="s">
        <v>656</v>
      </c>
      <c r="L22" s="85"/>
      <c r="M22" s="85"/>
      <c r="N22" s="53"/>
      <c r="O22" s="85"/>
      <c r="P22" s="53"/>
      <c r="Q22" s="53"/>
      <c r="R22" s="53"/>
      <c r="S22" s="85"/>
      <c r="T22" s="85"/>
      <c r="U22" s="53"/>
      <c r="V22" s="85"/>
      <c r="W22" s="53"/>
      <c r="X22" s="85"/>
      <c r="Y22" s="85"/>
      <c r="Z22" s="53"/>
      <c r="AA22" s="85"/>
      <c r="AB22" s="85"/>
      <c r="AC22" s="53"/>
      <c r="AD22" s="85"/>
      <c r="AE22" s="85"/>
      <c r="AF22" s="85"/>
      <c r="AG22" s="53"/>
      <c r="AH22" s="86"/>
      <c r="AI22" s="87"/>
      <c r="AJ22" s="87"/>
      <c r="AK22" s="87"/>
      <c r="AL22" s="87"/>
      <c r="AM22" s="88"/>
    </row>
    <row r="23" spans="1:40" ht="13.25" customHeight="1">
      <c r="A23" s="73" t="s">
        <v>549</v>
      </c>
      <c r="B23" s="73"/>
      <c r="C23" s="73"/>
      <c r="D23" s="73"/>
      <c r="E23" s="73"/>
      <c r="F23" s="73"/>
      <c r="G23" s="73"/>
      <c r="H23" s="73"/>
      <c r="I23" s="73"/>
      <c r="J23" s="73"/>
      <c r="K23" s="84" t="s">
        <v>657</v>
      </c>
      <c r="L23" s="53"/>
      <c r="M23" s="53"/>
      <c r="N23" s="53"/>
      <c r="O23" s="53"/>
      <c r="P23" s="85"/>
      <c r="Q23" s="85"/>
      <c r="R23" s="85"/>
      <c r="S23" s="85"/>
      <c r="T23" s="85"/>
      <c r="U23" s="85"/>
      <c r="V23" s="53"/>
      <c r="W23" s="85"/>
      <c r="X23" s="85"/>
      <c r="Y23" s="53"/>
      <c r="Z23" s="85"/>
      <c r="AA23" s="85"/>
      <c r="AB23" s="53"/>
      <c r="AC23" s="53"/>
      <c r="AD23" s="53"/>
      <c r="AE23" s="53"/>
      <c r="AF23" s="85"/>
      <c r="AG23" s="53"/>
      <c r="AH23" s="86"/>
      <c r="AI23" s="87"/>
      <c r="AJ23" s="87"/>
      <c r="AK23" s="87"/>
      <c r="AL23" s="87"/>
      <c r="AM23" s="88"/>
    </row>
    <row r="24" spans="1:40" ht="13.25" customHeight="1">
      <c r="A24" s="83" t="s">
        <v>189</v>
      </c>
      <c r="B24" s="83"/>
      <c r="C24" s="83"/>
      <c r="D24" s="83"/>
      <c r="E24" s="83"/>
      <c r="F24" s="83"/>
      <c r="G24" s="83"/>
      <c r="H24" s="83"/>
      <c r="I24" s="83"/>
      <c r="J24" s="83"/>
      <c r="K24" s="84" t="s">
        <v>356</v>
      </c>
      <c r="L24" s="53"/>
      <c r="M24" s="53"/>
      <c r="N24" s="53"/>
      <c r="O24" s="85"/>
      <c r="P24" s="85"/>
      <c r="Q24" s="85"/>
      <c r="R24" s="85"/>
      <c r="S24" s="53"/>
      <c r="T24" s="85"/>
      <c r="U24" s="85"/>
      <c r="V24" s="53"/>
      <c r="W24" s="85"/>
      <c r="X24" s="85"/>
      <c r="Y24" s="53"/>
      <c r="Z24" s="85"/>
      <c r="AA24" s="85"/>
      <c r="AB24" s="85"/>
      <c r="AC24" s="53"/>
      <c r="AD24" s="53"/>
      <c r="AE24" s="53"/>
      <c r="AF24" s="53"/>
      <c r="AG24" s="53"/>
      <c r="AH24" s="86"/>
      <c r="AI24" s="87"/>
      <c r="AJ24" s="87"/>
      <c r="AK24" s="87"/>
      <c r="AL24" s="87"/>
      <c r="AM24" s="88"/>
    </row>
    <row r="25" spans="1:40" ht="13.25" customHeight="1">
      <c r="A25" s="83" t="s">
        <v>190</v>
      </c>
      <c r="B25" s="83"/>
      <c r="C25" s="83"/>
      <c r="D25" s="83"/>
      <c r="E25" s="83"/>
      <c r="F25" s="83"/>
      <c r="G25" s="83"/>
      <c r="H25" s="83"/>
      <c r="I25" s="83"/>
      <c r="J25" s="83"/>
      <c r="K25" s="84" t="s">
        <v>658</v>
      </c>
      <c r="L25" s="53"/>
      <c r="M25" s="53"/>
      <c r="N25" s="53"/>
      <c r="O25" s="53"/>
      <c r="P25" s="85"/>
      <c r="Q25" s="85"/>
      <c r="R25" s="85"/>
      <c r="S25" s="85"/>
      <c r="T25" s="85"/>
      <c r="U25" s="85"/>
      <c r="V25" s="53"/>
      <c r="W25" s="85"/>
      <c r="X25" s="85"/>
      <c r="Y25" s="53"/>
      <c r="Z25" s="85"/>
      <c r="AA25" s="85"/>
      <c r="AB25" s="85"/>
      <c r="AC25" s="53"/>
      <c r="AD25" s="53"/>
      <c r="AE25" s="53"/>
      <c r="AF25" s="53"/>
      <c r="AG25" s="53"/>
      <c r="AH25" s="86"/>
      <c r="AI25" s="87"/>
      <c r="AJ25" s="87"/>
      <c r="AK25" s="87"/>
      <c r="AL25" s="87"/>
      <c r="AM25" s="88"/>
    </row>
    <row r="26" spans="1:40" ht="13.25" customHeight="1">
      <c r="A26" s="83" t="s">
        <v>540</v>
      </c>
      <c r="B26" s="83"/>
      <c r="C26" s="83"/>
      <c r="D26" s="83"/>
      <c r="E26" s="83"/>
      <c r="F26" s="83"/>
      <c r="G26" s="83"/>
      <c r="H26" s="83"/>
      <c r="I26" s="83"/>
      <c r="J26" s="83"/>
      <c r="K26" s="84" t="s">
        <v>659</v>
      </c>
      <c r="L26" s="53"/>
      <c r="M26" s="53"/>
      <c r="N26" s="53"/>
      <c r="O26" s="53"/>
      <c r="P26" s="85"/>
      <c r="Q26" s="85"/>
      <c r="R26" s="85"/>
      <c r="S26" s="85"/>
      <c r="T26" s="85"/>
      <c r="U26" s="85"/>
      <c r="V26" s="53"/>
      <c r="W26" s="85"/>
      <c r="X26" s="85"/>
      <c r="Y26" s="53"/>
      <c r="Z26" s="85"/>
      <c r="AA26" s="85"/>
      <c r="AB26" s="85"/>
      <c r="AC26" s="53"/>
      <c r="AD26" s="53"/>
      <c r="AE26" s="53"/>
      <c r="AF26" s="53"/>
      <c r="AG26" s="53"/>
      <c r="AH26" s="86"/>
      <c r="AI26" s="87"/>
      <c r="AJ26" s="87"/>
      <c r="AK26" s="87"/>
      <c r="AL26" s="87"/>
      <c r="AM26" s="88"/>
    </row>
    <row r="27" spans="1:40" ht="13.25" customHeight="1">
      <c r="A27" s="83" t="s">
        <v>3</v>
      </c>
      <c r="B27" s="83"/>
      <c r="C27" s="83"/>
      <c r="D27" s="83"/>
      <c r="E27" s="83"/>
      <c r="F27" s="83"/>
      <c r="G27" s="83"/>
      <c r="H27" s="83"/>
      <c r="I27" s="83"/>
      <c r="J27" s="83"/>
      <c r="K27" s="84" t="s">
        <v>660</v>
      </c>
      <c r="L27" s="53"/>
      <c r="M27" s="53"/>
      <c r="N27" s="53"/>
      <c r="O27" s="53"/>
      <c r="P27" s="85"/>
      <c r="Q27" s="85"/>
      <c r="R27" s="85"/>
      <c r="S27" s="53"/>
      <c r="T27" s="53"/>
      <c r="U27" s="85"/>
      <c r="V27" s="53"/>
      <c r="W27" s="85"/>
      <c r="X27" s="85"/>
      <c r="Y27" s="85"/>
      <c r="Z27" s="85"/>
      <c r="AA27" s="85"/>
      <c r="AB27" s="53"/>
      <c r="AC27" s="53"/>
      <c r="AD27" s="53"/>
      <c r="AE27" s="53"/>
      <c r="AF27" s="53"/>
      <c r="AG27" s="53"/>
      <c r="AH27" s="86"/>
      <c r="AI27" s="87"/>
      <c r="AJ27" s="87"/>
      <c r="AK27" s="87"/>
      <c r="AL27" s="87"/>
      <c r="AM27" s="88"/>
    </row>
    <row r="28" spans="1:40" ht="13.25" customHeight="1">
      <c r="A28" s="83" t="s">
        <v>192</v>
      </c>
      <c r="B28" s="83"/>
      <c r="C28" s="83"/>
      <c r="D28" s="83"/>
      <c r="E28" s="83"/>
      <c r="F28" s="83"/>
      <c r="G28" s="83"/>
      <c r="H28" s="83"/>
      <c r="I28" s="83"/>
      <c r="J28" s="83"/>
      <c r="K28" s="84" t="s">
        <v>661</v>
      </c>
      <c r="L28" s="53"/>
      <c r="M28" s="53"/>
      <c r="N28" s="53"/>
      <c r="O28" s="53"/>
      <c r="P28" s="85"/>
      <c r="Q28" s="85"/>
      <c r="R28" s="85"/>
      <c r="S28" s="53"/>
      <c r="T28" s="53"/>
      <c r="U28" s="85"/>
      <c r="V28" s="53"/>
      <c r="W28" s="85"/>
      <c r="X28" s="85"/>
      <c r="Y28" s="85"/>
      <c r="Z28" s="85"/>
      <c r="AA28" s="85"/>
      <c r="AB28" s="53"/>
      <c r="AC28" s="53"/>
      <c r="AD28" s="53"/>
      <c r="AE28" s="53"/>
      <c r="AF28" s="53"/>
      <c r="AG28" s="53"/>
      <c r="AH28" s="86"/>
      <c r="AI28" s="87"/>
      <c r="AJ28" s="87"/>
      <c r="AK28" s="87"/>
      <c r="AL28" s="87"/>
      <c r="AM28" s="88"/>
    </row>
    <row r="29" spans="1:40">
      <c r="A29" s="92"/>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4"/>
      <c r="AJ29" s="93"/>
      <c r="AK29" s="93"/>
      <c r="AL29" s="93"/>
      <c r="AM29" s="93"/>
      <c r="AN29" s="95"/>
    </row>
  </sheetData>
  <mergeCells count="8">
    <mergeCell ref="AJ6:AN6"/>
    <mergeCell ref="A7:K7"/>
    <mergeCell ref="A8:K8"/>
    <mergeCell ref="L2:V2"/>
    <mergeCell ref="L3:V3"/>
    <mergeCell ref="L4:V4"/>
    <mergeCell ref="A6:K6"/>
    <mergeCell ref="L6:AH6"/>
  </mergeCells>
  <pageMargins left="0.7" right="0.7" top="0.75" bottom="0.75" header="0.3" footer="0.3"/>
  <pageSetup paperSize="9" orientation="portrait" r:id="rId1"/>
  <headerFooter>
    <oddHeader>&amp;C&amp;"Calibri"&amp;13&amp;K000000 TransUnion - Internal&amp;1#_x000D_</oddHeader>
    <oddFooter>&amp;C_x000D_&amp;1#&amp;"Calibri"&amp;13&amp;K000000 TransUnion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8"/>
  <sheetViews>
    <sheetView workbookViewId="0">
      <selection activeCell="C5" sqref="A5:XFD5"/>
    </sheetView>
  </sheetViews>
  <sheetFormatPr defaultRowHeight="14"/>
  <cols>
    <col min="1" max="1" width="5.1640625" style="242" bestFit="1" customWidth="1"/>
    <col min="2" max="2" width="39.33203125" style="242" customWidth="1"/>
    <col min="3" max="3" width="31.6640625" style="242" customWidth="1"/>
    <col min="4" max="4" width="37.25" style="31" bestFit="1" customWidth="1"/>
  </cols>
  <sheetData>
    <row r="1" spans="1:4" s="40" customFormat="1">
      <c r="A1" s="233" t="s">
        <v>409</v>
      </c>
      <c r="B1" s="233" t="s">
        <v>663</v>
      </c>
      <c r="C1" s="233" t="s">
        <v>410</v>
      </c>
      <c r="D1" s="39"/>
    </row>
    <row r="2" spans="1:4" s="40" customFormat="1">
      <c r="A2" s="234" t="s">
        <v>199</v>
      </c>
      <c r="B2" s="235" t="s">
        <v>200</v>
      </c>
      <c r="C2" s="235" t="s">
        <v>664</v>
      </c>
      <c r="D2" s="39"/>
    </row>
    <row r="3" spans="1:4" s="40" customFormat="1">
      <c r="A3" s="357" t="s">
        <v>198</v>
      </c>
      <c r="B3" s="235" t="s">
        <v>665</v>
      </c>
      <c r="C3" s="358" t="s">
        <v>667</v>
      </c>
      <c r="D3" s="39"/>
    </row>
    <row r="4" spans="1:4" s="40" customFormat="1">
      <c r="A4" s="358"/>
      <c r="B4" s="235" t="s">
        <v>666</v>
      </c>
      <c r="C4" s="358"/>
      <c r="D4" s="39"/>
    </row>
    <row r="5" spans="1:4" s="40" customFormat="1" ht="46">
      <c r="A5" s="357" t="s">
        <v>176</v>
      </c>
      <c r="B5" s="358" t="s">
        <v>718</v>
      </c>
      <c r="C5" s="235" t="s">
        <v>668</v>
      </c>
      <c r="D5" s="165" t="s">
        <v>721</v>
      </c>
    </row>
    <row r="6" spans="1:4" s="40" customFormat="1" ht="23">
      <c r="A6" s="358"/>
      <c r="B6" s="358"/>
      <c r="C6" s="236" t="s">
        <v>862</v>
      </c>
      <c r="D6" s="39"/>
    </row>
    <row r="7" spans="1:4" s="40" customFormat="1" ht="57.5">
      <c r="A7" s="234" t="s">
        <v>415</v>
      </c>
      <c r="B7" s="235" t="s">
        <v>669</v>
      </c>
      <c r="C7" s="235" t="s">
        <v>670</v>
      </c>
      <c r="D7" s="39"/>
    </row>
    <row r="8" spans="1:4" s="40" customFormat="1">
      <c r="A8" s="357" t="s">
        <v>416</v>
      </c>
      <c r="B8" s="235" t="s">
        <v>671</v>
      </c>
      <c r="C8" s="235" t="s">
        <v>673</v>
      </c>
      <c r="D8" s="39"/>
    </row>
    <row r="9" spans="1:4" s="40" customFormat="1" ht="23">
      <c r="A9" s="358"/>
      <c r="B9" s="235" t="s">
        <v>672</v>
      </c>
      <c r="C9" s="235" t="s">
        <v>674</v>
      </c>
      <c r="D9" s="39"/>
    </row>
    <row r="10" spans="1:4" s="40" customFormat="1">
      <c r="A10" s="357" t="s">
        <v>418</v>
      </c>
      <c r="B10" s="358" t="s">
        <v>675</v>
      </c>
      <c r="C10" s="235" t="s">
        <v>676</v>
      </c>
      <c r="D10" s="39"/>
    </row>
    <row r="11" spans="1:4" s="40" customFormat="1" ht="23">
      <c r="A11" s="358"/>
      <c r="B11" s="358"/>
      <c r="C11" s="235" t="s">
        <v>674</v>
      </c>
      <c r="D11" s="39"/>
    </row>
    <row r="12" spans="1:4" s="40" customFormat="1" ht="92">
      <c r="A12" s="357" t="s">
        <v>420</v>
      </c>
      <c r="B12" s="358" t="s">
        <v>677</v>
      </c>
      <c r="C12" s="235" t="s">
        <v>692</v>
      </c>
      <c r="D12" s="39"/>
    </row>
    <row r="13" spans="1:4" s="40" customFormat="1">
      <c r="A13" s="358"/>
      <c r="B13" s="358"/>
      <c r="C13" s="235" t="s">
        <v>691</v>
      </c>
      <c r="D13" s="39"/>
    </row>
    <row r="14" spans="1:4" s="40" customFormat="1" ht="69">
      <c r="A14" s="358"/>
      <c r="B14" s="358"/>
      <c r="C14" s="235" t="s">
        <v>678</v>
      </c>
      <c r="D14" s="39"/>
    </row>
    <row r="15" spans="1:4" s="40" customFormat="1" ht="46">
      <c r="A15" s="234" t="s">
        <v>684</v>
      </c>
      <c r="B15" s="235" t="s">
        <v>679</v>
      </c>
      <c r="C15" s="237" t="s">
        <v>680</v>
      </c>
      <c r="D15" s="39"/>
    </row>
    <row r="16" spans="1:4" s="40" customFormat="1">
      <c r="A16" s="234" t="s">
        <v>685</v>
      </c>
      <c r="B16" s="235" t="s">
        <v>681</v>
      </c>
      <c r="C16" s="236" t="s">
        <v>682</v>
      </c>
      <c r="D16" s="39"/>
    </row>
    <row r="17" spans="1:4" s="40" customFormat="1" ht="46">
      <c r="A17" s="234" t="s">
        <v>686</v>
      </c>
      <c r="B17" s="235" t="s">
        <v>687</v>
      </c>
      <c r="C17" s="238" t="s">
        <v>688</v>
      </c>
      <c r="D17" s="165" t="s">
        <v>722</v>
      </c>
    </row>
    <row r="18" spans="1:4" s="40" customFormat="1" ht="34.5">
      <c r="A18" s="239" t="s">
        <v>683</v>
      </c>
      <c r="B18" s="240" t="s">
        <v>717</v>
      </c>
      <c r="C18" s="241" t="s">
        <v>689</v>
      </c>
      <c r="D18" s="165" t="s">
        <v>722</v>
      </c>
    </row>
  </sheetData>
  <mergeCells count="9">
    <mergeCell ref="A12:A14"/>
    <mergeCell ref="B12:B14"/>
    <mergeCell ref="A3:A4"/>
    <mergeCell ref="C3:C4"/>
    <mergeCell ref="A5:A6"/>
    <mergeCell ref="B5:B6"/>
    <mergeCell ref="A8:A9"/>
    <mergeCell ref="A10:A11"/>
    <mergeCell ref="B10:B11"/>
  </mergeCells>
  <pageMargins left="0.7" right="0.7" top="0.75" bottom="0.75" header="0.3" footer="0.3"/>
  <headerFooter>
    <oddHeader>&amp;C&amp;"Calibri"&amp;13&amp;K000000 TransUnion - Internal&amp;1#_x000D_</oddHeader>
    <oddFooter>&amp;C_x000D_&amp;1#&amp;"Calibri"&amp;13&amp;K000000 TransUnion -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A2" sqref="A2"/>
    </sheetView>
  </sheetViews>
  <sheetFormatPr defaultRowHeight="14"/>
  <cols>
    <col min="1" max="1" width="33.1640625" style="31" bestFit="1" customWidth="1"/>
    <col min="2" max="2" width="6.9140625" style="31" bestFit="1" customWidth="1"/>
    <col min="3" max="3" width="11.33203125" style="31" bestFit="1" customWidth="1"/>
    <col min="4" max="4" width="36.9140625" style="31" bestFit="1" customWidth="1"/>
    <col min="5" max="5" width="9.75" bestFit="1" customWidth="1"/>
    <col min="6" max="6" width="56.25" customWidth="1"/>
  </cols>
  <sheetData>
    <row r="1" spans="1:6">
      <c r="A1" s="215" t="s">
        <v>854</v>
      </c>
      <c r="B1" s="215" t="s">
        <v>853</v>
      </c>
      <c r="C1" s="215" t="s">
        <v>852</v>
      </c>
      <c r="D1" s="215" t="s">
        <v>851</v>
      </c>
      <c r="E1" s="215" t="s">
        <v>855</v>
      </c>
      <c r="F1" s="215" t="s">
        <v>856</v>
      </c>
    </row>
    <row r="2" spans="1:6" ht="25">
      <c r="A2" s="216" t="s">
        <v>849</v>
      </c>
      <c r="B2" s="152" t="s">
        <v>845</v>
      </c>
      <c r="C2" s="152" t="s">
        <v>847</v>
      </c>
      <c r="D2" s="152" t="s">
        <v>851</v>
      </c>
      <c r="E2" s="152">
        <v>1</v>
      </c>
      <c r="F2" s="152" t="s">
        <v>857</v>
      </c>
    </row>
    <row r="3" spans="1:6" ht="25">
      <c r="A3" s="216" t="s">
        <v>850</v>
      </c>
      <c r="B3" s="152" t="s">
        <v>846</v>
      </c>
      <c r="C3" s="152" t="s">
        <v>848</v>
      </c>
      <c r="D3" s="152" t="s">
        <v>851</v>
      </c>
      <c r="E3" s="152">
        <v>1</v>
      </c>
      <c r="F3" s="152" t="s">
        <v>857</v>
      </c>
    </row>
  </sheetData>
  <phoneticPr fontId="1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D11" sqref="D11"/>
    </sheetView>
  </sheetViews>
  <sheetFormatPr defaultRowHeight="14"/>
  <cols>
    <col min="1" max="1" width="12.75" style="41" customWidth="1"/>
    <col min="2" max="2" width="17.9140625" style="41" customWidth="1"/>
  </cols>
  <sheetData>
    <row r="1" spans="1:2">
      <c r="A1" s="219" t="s">
        <v>368</v>
      </c>
      <c r="B1" s="219" t="s">
        <v>881</v>
      </c>
    </row>
    <row r="2" spans="1:2">
      <c r="A2" s="148" t="s">
        <v>332</v>
      </c>
      <c r="B2" s="148" t="s">
        <v>882</v>
      </c>
    </row>
    <row r="3" spans="1:2">
      <c r="A3" s="148" t="s">
        <v>883</v>
      </c>
      <c r="B3" s="148" t="s">
        <v>884</v>
      </c>
    </row>
    <row r="4" spans="1:2">
      <c r="A4" s="148" t="s">
        <v>314</v>
      </c>
      <c r="B4" s="148" t="s">
        <v>885</v>
      </c>
    </row>
    <row r="5" spans="1:2">
      <c r="A5" s="148" t="s">
        <v>886</v>
      </c>
      <c r="B5" s="148" t="s">
        <v>887</v>
      </c>
    </row>
    <row r="6" spans="1:2">
      <c r="A6" s="148" t="s">
        <v>888</v>
      </c>
      <c r="B6" s="148" t="s">
        <v>889</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D4" sqref="D4"/>
    </sheetView>
  </sheetViews>
  <sheetFormatPr defaultRowHeight="14"/>
  <cols>
    <col min="1" max="1" width="30.1640625" style="145" customWidth="1"/>
    <col min="2" max="2" width="36.75" style="41" customWidth="1"/>
  </cols>
  <sheetData>
    <row r="1" spans="1:2">
      <c r="A1" s="261" t="s">
        <v>368</v>
      </c>
      <c r="B1" s="262" t="s">
        <v>890</v>
      </c>
    </row>
    <row r="2" spans="1:2">
      <c r="A2" s="263" t="s">
        <v>891</v>
      </c>
      <c r="B2" s="264" t="s">
        <v>892</v>
      </c>
    </row>
    <row r="3" spans="1:2">
      <c r="A3" s="263" t="s">
        <v>893</v>
      </c>
      <c r="B3" s="264" t="s">
        <v>894</v>
      </c>
    </row>
    <row r="4" spans="1:2">
      <c r="A4" s="263" t="s">
        <v>895</v>
      </c>
      <c r="B4" s="264" t="s">
        <v>896</v>
      </c>
    </row>
    <row r="5" spans="1:2">
      <c r="A5" s="263" t="s">
        <v>897</v>
      </c>
      <c r="B5" s="264" t="s">
        <v>898</v>
      </c>
    </row>
    <row r="6" spans="1:2">
      <c r="A6" s="263" t="s">
        <v>899</v>
      </c>
      <c r="B6" s="264" t="s">
        <v>900</v>
      </c>
    </row>
    <row r="7" spans="1:2">
      <c r="A7" s="263" t="s">
        <v>901</v>
      </c>
      <c r="B7" s="264" t="s">
        <v>902</v>
      </c>
    </row>
    <row r="8" spans="1:2">
      <c r="A8" s="263" t="s">
        <v>903</v>
      </c>
      <c r="B8" s="264" t="s">
        <v>904</v>
      </c>
    </row>
    <row r="9" spans="1:2">
      <c r="A9" s="263" t="s">
        <v>905</v>
      </c>
      <c r="B9" s="264" t="s">
        <v>906</v>
      </c>
    </row>
    <row r="10" spans="1:2">
      <c r="A10" s="263" t="s">
        <v>907</v>
      </c>
      <c r="B10" s="264" t="s">
        <v>908</v>
      </c>
    </row>
    <row r="11" spans="1:2">
      <c r="A11" s="263" t="s">
        <v>909</v>
      </c>
      <c r="B11" s="264" t="s">
        <v>910</v>
      </c>
    </row>
    <row r="12" spans="1:2">
      <c r="A12" s="263" t="s">
        <v>911</v>
      </c>
      <c r="B12" s="264" t="s">
        <v>912</v>
      </c>
    </row>
    <row r="13" spans="1:2">
      <c r="A13" s="263" t="s">
        <v>913</v>
      </c>
      <c r="B13" s="264" t="s">
        <v>914</v>
      </c>
    </row>
    <row r="14" spans="1:2">
      <c r="A14" s="263" t="s">
        <v>915</v>
      </c>
      <c r="B14" s="264" t="s">
        <v>916</v>
      </c>
    </row>
    <row r="15" spans="1:2">
      <c r="A15" s="263" t="s">
        <v>917</v>
      </c>
      <c r="B15" s="264" t="s">
        <v>918</v>
      </c>
    </row>
    <row r="16" spans="1:2">
      <c r="A16" s="263" t="s">
        <v>919</v>
      </c>
      <c r="B16" s="264" t="s">
        <v>920</v>
      </c>
    </row>
    <row r="17" spans="1:2">
      <c r="A17" s="263" t="s">
        <v>921</v>
      </c>
      <c r="B17" s="264" t="s">
        <v>922</v>
      </c>
    </row>
    <row r="18" spans="1:2">
      <c r="A18" s="263" t="s">
        <v>923</v>
      </c>
      <c r="B18" s="264" t="s">
        <v>924</v>
      </c>
    </row>
    <row r="19" spans="1:2">
      <c r="A19" s="263" t="s">
        <v>925</v>
      </c>
      <c r="B19" s="264" t="s">
        <v>926</v>
      </c>
    </row>
    <row r="20" spans="1:2">
      <c r="A20" s="263" t="s">
        <v>927</v>
      </c>
      <c r="B20" s="264" t="s">
        <v>928</v>
      </c>
    </row>
    <row r="21" spans="1:2">
      <c r="A21" s="263" t="s">
        <v>929</v>
      </c>
      <c r="B21" s="264" t="s">
        <v>930</v>
      </c>
    </row>
    <row r="22" spans="1:2">
      <c r="A22" s="263" t="s">
        <v>931</v>
      </c>
      <c r="B22" s="264" t="s">
        <v>932</v>
      </c>
    </row>
    <row r="23" spans="1:2">
      <c r="A23" s="263" t="s">
        <v>933</v>
      </c>
      <c r="B23" s="264" t="s">
        <v>934</v>
      </c>
    </row>
    <row r="24" spans="1:2">
      <c r="A24" s="263" t="s">
        <v>935</v>
      </c>
      <c r="B24" s="264" t="s">
        <v>936</v>
      </c>
    </row>
    <row r="25" spans="1:2">
      <c r="A25" s="263" t="s">
        <v>937</v>
      </c>
      <c r="B25" s="264" t="s">
        <v>938</v>
      </c>
    </row>
    <row r="26" spans="1:2">
      <c r="A26" s="263" t="s">
        <v>939</v>
      </c>
      <c r="B26" s="264" t="s">
        <v>940</v>
      </c>
    </row>
    <row r="27" spans="1:2">
      <c r="A27" s="263" t="s">
        <v>941</v>
      </c>
      <c r="B27" s="264" t="s">
        <v>942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49127F-6A8D-47A1-B985-2A173FE4FB1A}">
  <ds:schemaRefs>
    <ds:schemaRef ds:uri="http://schemas.microsoft.com/DataMashup"/>
  </ds:schemaRefs>
</ds:datastoreItem>
</file>

<file path=docMetadata/LabelInfo.xml><?xml version="1.0" encoding="utf-8"?>
<clbl:labelList xmlns:clbl="http://schemas.microsoft.com/office/2020/mipLabelMetadata">
  <clbl:label id="{1e9f7f0e-7d96-445a-9c75-e41e40dff102}" enabled="1" method="Standard" siteId="{0685d760-4332-4f24-b2ea-ffbbc2383f1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Comments on the layout </vt:lpstr>
      <vt:lpstr>Links to Worksheets</vt:lpstr>
      <vt:lpstr>Proposed Layout</vt:lpstr>
      <vt:lpstr>Input Layout</vt:lpstr>
      <vt:lpstr>Header &amp; Trailer</vt:lpstr>
      <vt:lpstr>Financial input</vt:lpstr>
      <vt:lpstr>Account Status</vt:lpstr>
      <vt:lpstr>Status code Rules</vt:lpstr>
      <vt:lpstr>Account Types</vt:lpstr>
      <vt:lpstr>Record Type</vt:lpstr>
      <vt:lpstr>Ownership Type</vt:lpstr>
      <vt:lpstr>Address Population</vt:lpstr>
      <vt:lpstr>Repayment Frequency</vt:lpstr>
      <vt:lpstr>Loan Reason Code Botswana</vt:lpstr>
      <vt:lpstr>Status &amp; Acc Type</vt:lpstr>
      <vt:lpstr>Payment Type Table</vt:lpstr>
      <vt:lpstr>File Naming Conventions</vt:lpstr>
      <vt:lpstr>Income Frequency</vt:lpstr>
      <vt:lpstr>Title Table</vt:lpstr>
    </vt:vector>
  </TitlesOfParts>
  <Company>TransUnion LLC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Nkumane, Portia</dc:creator>
  <cp:lastModifiedBy>Thabiso</cp:lastModifiedBy>
  <dcterms:created xsi:type="dcterms:W3CDTF">2025-09-25T11:11:21Z</dcterms:created>
  <dcterms:modified xsi:type="dcterms:W3CDTF">2026-05-06T10:00:19Z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f7f0e-7d96-445a-9c75-e41e40dff102_Enabled">
    <vt:lpwstr>true</vt:lpwstr>
  </property>
  <property fmtid="{D5CDD505-2E9C-101B-9397-08002B2CF9AE}" pid="3" name="MSIP_Label_1e9f7f0e-7d96-445a-9c75-e41e40dff102_SetDate">
    <vt:lpwstr>2025-10-22T06:25:16Z</vt:lpwstr>
  </property>
  <property fmtid="{D5CDD505-2E9C-101B-9397-08002B2CF9AE}" pid="4" name="MSIP_Label_1e9f7f0e-7d96-445a-9c75-e41e40dff102_Method">
    <vt:lpwstr>Standard</vt:lpwstr>
  </property>
  <property fmtid="{D5CDD505-2E9C-101B-9397-08002B2CF9AE}" pid="5" name="MSIP_Label_1e9f7f0e-7d96-445a-9c75-e41e40dff102_Name">
    <vt:lpwstr>TransUnion - Internal</vt:lpwstr>
  </property>
  <property fmtid="{D5CDD505-2E9C-101B-9397-08002B2CF9AE}" pid="6" name="MSIP_Label_1e9f7f0e-7d96-445a-9c75-e41e40dff102_SiteId">
    <vt:lpwstr>0685d760-4332-4f24-b2ea-ffbbc2383f15</vt:lpwstr>
  </property>
  <property fmtid="{D5CDD505-2E9C-101B-9397-08002B2CF9AE}" pid="7" name="MSIP_Label_1e9f7f0e-7d96-445a-9c75-e41e40dff102_ActionId">
    <vt:lpwstr>c051c916-cc0d-4c94-8fdb-b267cc338e02</vt:lpwstr>
  </property>
  <property fmtid="{D5CDD505-2E9C-101B-9397-08002B2CF9AE}" pid="8" name="MSIP_Label_1e9f7f0e-7d96-445a-9c75-e41e40dff102_ContentBits">
    <vt:lpwstr>3</vt:lpwstr>
  </property>
  <property fmtid="{D5CDD505-2E9C-101B-9397-08002B2CF9AE}" pid="9" name="MSIP_Label_1e9f7f0e-7d96-445a-9c75-e41e40dff102_Tag">
    <vt:lpwstr>10, 3, 0, 1</vt:lpwstr>
  </property>
</Properties>
</file>